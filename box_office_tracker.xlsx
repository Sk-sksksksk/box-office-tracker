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2.xml.rels" ContentType="application/vnd.openxmlformats-package.relationships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README" sheetId="1" state="visible" r:id="rId2"/>
    <sheet name="Daily Log" sheetId="2" state="visible" r:id="rId3"/>
    <sheet name="Films" sheetId="3" state="visible" r:id="rId4"/>
    <sheet name="Sources" sheetId="4" state="visible" r:id="rId5"/>
    <sheet name="Summary" sheetId="5" state="visible" r:id="rId6"/>
    <sheet name="Lists" sheetId="6" state="visible" r:id="rId7"/>
  </sheets>
  <definedNames>
    <definedName function="false" hidden="true" localSheetId="1" name="_xlnm._FilterDatabase" vbProcedure="false">'Daily Log'!$A$1:$N$500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<sst xmlns="http://schemas.openxmlformats.org/spreadsheetml/2006/main" count="813" uniqueCount="119">
  <si>
    <t xml:space="preserve">Indian Box Office Tracker</t>
  </si>
  <si>
    <t xml:space="preserve">How to use</t>
  </si>
  <si>
    <t xml:space="preserve">1. Films tab: add each film once (title, language, release date).</t>
  </si>
  <si>
    <t xml:space="preserve">2. Sources tab: list every source you pull numbers from. Mark whether you checked its terms.</t>
  </si>
  <si>
    <t xml:space="preserve">3. Daily Log tab: one row per source per film per day. Fill only the blue columns (A, B, C, E, F, G, H, I).</t>
  </si>
  <si>
    <t xml:space="preserve">4. Grey columns (D, J-N) are formulas. Do not overwrite them.</t>
  </si>
  <si>
    <t xml:space="preserve">5. Summary tab updates automatically.</t>
  </si>
  <si>
    <t xml:space="preserve">Key rules</t>
  </si>
  <si>
    <t xml:space="preserve">- Units: all grosses are in Rs crore.</t>
  </si>
  <si>
    <t xml:space="preserve">- Gross Basis: never mix Net India, Gross India and Worldwide in one comparison. The flag only compares rows with the same basis.</t>
  </si>
  <si>
    <t xml:space="preserve">- Figure Type: use 'Trade estimate' for independent sources, 'Producer-reported' for official posters, 'Confirmed actual' for audited or distributor-confirmed numbers.</t>
  </si>
  <si>
    <t xml:space="preserve">- The disagreement flag compares Trade estimate rows only, for the same film, date and basis. Threshold is set on the Lists tab (default 10%).</t>
  </si>
  <si>
    <t xml:space="preserve">- Summary tab uses Net India figures only.</t>
  </si>
  <si>
    <t xml:space="preserve">- Consistency Rating: 'Good' when trade sources vary by &lt;= 5%, 'Moderate' for 5%-10%, and 'Bad' when spread &gt; 10% (thresholds editable on the Lists tab).</t>
  </si>
  <si>
    <t xml:space="preserve">Colour legend</t>
  </si>
  <si>
    <t xml:space="preserve">Blue text = you type here.  Black text on grey = formula.</t>
  </si>
  <si>
    <t xml:space="preserve">Example data</t>
  </si>
  <si>
    <t xml:space="preserve">The row for 'Example Film (delete me)' and its log entries are fictional and only show the expected format. Delete them before you start.</t>
  </si>
  <si>
    <t xml:space="preserve">Logged At</t>
  </si>
  <si>
    <t xml:space="preserve">Film</t>
  </si>
  <si>
    <t xml:space="preserve">Business Date</t>
  </si>
  <si>
    <t xml:space="preserve">Day No</t>
  </si>
  <si>
    <t xml:space="preserve">Gross (Rs cr)</t>
  </si>
  <si>
    <t xml:space="preserve">Gross Basis</t>
  </si>
  <si>
    <t xml:space="preserve">Source</t>
  </si>
  <si>
    <t xml:space="preserve">Figure Type</t>
  </si>
  <si>
    <t xml:space="preserve">Notes</t>
  </si>
  <si>
    <t xml:space="preserve">Trade Sources (count)</t>
  </si>
  <si>
    <t xml:space="preserve">Trade Max</t>
  </si>
  <si>
    <t xml:space="preserve">Trade Min</t>
  </si>
  <si>
    <t xml:space="preserve">Spread %</t>
  </si>
  <si>
    <t xml:space="preserve">Flag</t>
  </si>
  <si>
    <t xml:space="preserve">Consistency Rating</t>
  </si>
  <si>
    <t xml:space="preserve">Drishyam 3: The Conclusion</t>
  </si>
  <si>
    <t xml:space="preserve">Net India</t>
  </si>
  <si>
    <t xml:space="preserve">Sacnilk</t>
  </si>
  <si>
    <t xml:space="preserve">Trade estimate</t>
  </si>
  <si>
    <t xml:space="preserve">Weekly Top 10 tracker</t>
  </si>
  <si>
    <t xml:space="preserve">Bollywood Hungama</t>
  </si>
  <si>
    <t xml:space="preserve">Box Office India</t>
  </si>
  <si>
    <t xml:space="preserve">Producer / Official poster</t>
  </si>
  <si>
    <t xml:space="preserve">Producer-reported</t>
  </si>
  <si>
    <t xml:space="preserve">Official producer figure</t>
  </si>
  <si>
    <t xml:space="preserve">Jailer 2</t>
  </si>
  <si>
    <t xml:space="preserve">Comrade Kalyan</t>
  </si>
  <si>
    <t xml:space="preserve">Baththa</t>
  </si>
  <si>
    <t xml:space="preserve">Ranabaali</t>
  </si>
  <si>
    <t xml:space="preserve">Vvan - Force of the Forrest</t>
  </si>
  <si>
    <t xml:space="preserve">Other Mommy</t>
  </si>
  <si>
    <t xml:space="preserve">Prahaar - The Ujjwal Nikam Story</t>
  </si>
  <si>
    <t xml:space="preserve">Street Fighter (Tamil)</t>
  </si>
  <si>
    <t xml:space="preserve">The Eken: Kerala-e-Kurukshetra</t>
  </si>
  <si>
    <t xml:space="preserve">Language</t>
  </si>
  <si>
    <t xml:space="preserve">Release Date</t>
  </si>
  <si>
    <t xml:space="preserve">Director / Lead</t>
  </si>
  <si>
    <t xml:space="preserve">Hindi</t>
  </si>
  <si>
    <t xml:space="preserve">Ajay Devgn, Mohanlal</t>
  </si>
  <si>
    <t xml:space="preserve">Week 2 blockbuster; #1 highest-collecting film of the week.</t>
  </si>
  <si>
    <t xml:space="preserve">Tamil</t>
  </si>
  <si>
    <t xml:space="preserve">Rajinikanth / Nelson</t>
  </si>
  <si>
    <t xml:space="preserve">Massive festive opening; 2-day collection places #2 for the week.</t>
  </si>
  <si>
    <t xml:space="preserve">Telugu</t>
  </si>
  <si>
    <t xml:space="preserve">Pawan Kalyan</t>
  </si>
  <si>
    <t xml:space="preserve">Strong Week 1 run in AP/Telangana.</t>
  </si>
  <si>
    <t xml:space="preserve">Karthi</t>
  </si>
  <si>
    <t xml:space="preserve">Steady Week 2 hold across Tamil Nadu.</t>
  </si>
  <si>
    <t xml:space="preserve">Rana Daggubati</t>
  </si>
  <si>
    <t xml:space="preserve">Friday release; wider spread across Day 1 estimates.</t>
  </si>
  <si>
    <t xml:space="preserve">Sidharth Malhotra</t>
  </si>
  <si>
    <t xml:space="preserve">Folk thriller in Week 3.</t>
  </si>
  <si>
    <t xml:space="preserve">Other</t>
  </si>
  <si>
    <t xml:space="preserve">Jessica Chastain</t>
  </si>
  <si>
    <t xml:space="preserve">English horror release in Indian multiplexes.</t>
  </si>
  <si>
    <t xml:space="preserve">Rajkummar Rao</t>
  </si>
  <si>
    <t xml:space="preserve">Courtroom biopic Day 1 opening.</t>
  </si>
  <si>
    <t xml:space="preserve">Action Ensemble</t>
  </si>
  <si>
    <t xml:space="preserve">Friday Tamil action release.</t>
  </si>
  <si>
    <t xml:space="preserve">Bengali</t>
  </si>
  <si>
    <t xml:space="preserve">Anirban Chakrabarti</t>
  </si>
  <si>
    <t xml:space="preserve">Puja release strong in West Bengal.</t>
  </si>
  <si>
    <t xml:space="preserve">Type</t>
  </si>
  <si>
    <t xml:space="preserve">Website</t>
  </si>
  <si>
    <t xml:space="preserve">What it reports</t>
  </si>
  <si>
    <t xml:space="preserve">Terms / robots.txt checked?</t>
  </si>
  <si>
    <t xml:space="preserve">Trade site</t>
  </si>
  <si>
    <t xml:space="preserve">sacnilk.com</t>
  </si>
  <si>
    <t xml:space="preserve">Daily India net estimates</t>
  </si>
  <si>
    <t xml:space="preserve">No</t>
  </si>
  <si>
    <t xml:space="preserve">boxofficeindia.com</t>
  </si>
  <si>
    <t xml:space="preserve">Daily and weekly net figures</t>
  </si>
  <si>
    <t xml:space="preserve">bollywoodhungama.com</t>
  </si>
  <si>
    <t xml:space="preserve">Daily estimates and trade commentary</t>
  </si>
  <si>
    <t xml:space="preserve">Ormax Media</t>
  </si>
  <si>
    <t xml:space="preserve">Research firm</t>
  </si>
  <si>
    <t xml:space="preserve">ormaxmedia.com</t>
  </si>
  <si>
    <t xml:space="preserve">Weekly reports</t>
  </si>
  <si>
    <t xml:space="preserve">Producer</t>
  </si>
  <si>
    <t xml:space="preserve">Official claims, often higher than trade</t>
  </si>
  <si>
    <t xml:space="preserve">N/A</t>
  </si>
  <si>
    <t xml:space="preserve">Log as Producer-reported</t>
  </si>
  <si>
    <t xml:space="preserve">Days Logged</t>
  </si>
  <si>
    <t xml:space="preserve">Day 1 Trade Avg (Rs cr)</t>
  </si>
  <si>
    <t xml:space="preserve">Day 1 Producer (Rs cr)</t>
  </si>
  <si>
    <t xml:space="preserve">Producer Premium %</t>
  </si>
  <si>
    <t xml:space="preserve">Latest Day Trade Avg (Rs cr)</t>
  </si>
  <si>
    <t xml:space="preserve">Avg Trade Spread %</t>
  </si>
  <si>
    <t xml:space="preserve">Max Trade Spread %</t>
  </si>
  <si>
    <t xml:space="preserve">Producer Alignment</t>
  </si>
  <si>
    <t xml:space="preserve">Disagreement threshold (Bad)</t>
  </si>
  <si>
    <t xml:space="preserve">Gross India</t>
  </si>
  <si>
    <t xml:space="preserve">Spread &gt; 10% across trade sites is flagged as Bad / CHECK.</t>
  </si>
  <si>
    <t xml:space="preserve">Worldwide</t>
  </si>
  <si>
    <t xml:space="preserve">Confirmed actual</t>
  </si>
  <si>
    <t xml:space="preserve">Malayalam</t>
  </si>
  <si>
    <t xml:space="preserve">Good consistency threshold</t>
  </si>
  <si>
    <t xml:space="preserve">Kannada</t>
  </si>
  <si>
    <t xml:space="preserve">Spread &lt;= 5% is rated Good; 5%-10% is rated Moderate; &gt; 10% is rated Bad.</t>
  </si>
  <si>
    <t xml:space="preserve">Marathi</t>
  </si>
  <si>
    <t xml:space="preserve">Punjabi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</si>
</sst>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m/yy\ hh:mm"/>
    <numFmt numFmtId="166" formatCode="dd/mmm/yyyy"/>
    <numFmt numFmtId="167" formatCode="General"/>
    <numFmt numFmtId="168" formatCode="0.00"/>
    <numFmt numFmtId="169" formatCode="0.0%"/>
  </numFmts>
  <fonts count="11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EEEEEE"/>
        <bgColor rgb="FFE6F4EA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1F3A5F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FF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EEEEEE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006100"/>
        </patternFill>
      </fill>
    </dxf>
    <dxf>
      <fill>
        <patternFill patternType="solid">
          <fgColor rgb="FF9C0006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color rgb="FF006100"/>
      </font>
      <fill>
        <patternFill>
          <bgColor rgb="FFC6EFCE"/>
        </patternFill>
      </fill>
    </dxf>
    <dxf>
      <font>
        <b val="1"/>
        <color rgb="FF006100"/>
      </font>
      <fill>
        <patternFill>
          <bgColor rgb="FFE6F4EA"/>
        </patternFill>
      </fill>
    </dxf>
    <dxf>
      <font>
        <b val="1"/>
        <color rgb="FF9C6500"/>
      </font>
      <fill>
        <patternFill>
          <bgColor rgb="FFFEF7E0"/>
        </patternFill>
      </fill>
    </dxf>
    <dxf>
      <font>
        <b val="1"/>
        <color rgb="FF9C0006"/>
      </font>
      <fill>
        <patternFill>
          <bgColor rgb="FFFCE8E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CCCCCC"/>
      <rgbColor rgb="FF808080"/>
      <rgbColor rgb="FF9999FF"/>
      <rgbColor rgb="FF993366"/>
      <rgbColor rgb="FFFEF7E0"/>
      <rgbColor rgb="FFE6F4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EEE"/>
      <rgbColor rgb="FFC6EFCE"/>
      <rgbColor rgb="FFFCE8E6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110"/>
  </cols>
  <sheetData>
    <row r="1" customFormat="false" ht="17.25" hidden="false" customHeight="true" outlineLevel="0" collapsed="false">
      <c r="A1" s="2" t="s">
        <v>0</v>
      </c>
    </row>
    <row r="2" customFormat="false" ht="14.25" hidden="false" customHeight="true" outlineLevel="0" collapsed="false">
      <c r="A2" s="3"/>
    </row>
    <row r="3" customFormat="false" ht="14.25" hidden="false" customHeight="true" outlineLevel="0" collapsed="false">
      <c r="A3" s="4" t="s">
        <v>1</v>
      </c>
    </row>
    <row r="4" customFormat="false" ht="14.25" hidden="false" customHeight="true" outlineLevel="0" collapsed="false">
      <c r="A4" s="3" t="s">
        <v>2</v>
      </c>
    </row>
    <row r="5" customFormat="false" ht="14.25" hidden="false" customHeight="true" outlineLevel="0" collapsed="false">
      <c r="A5" s="3" t="s">
        <v>3</v>
      </c>
    </row>
    <row r="6" customFormat="false" ht="14.25" hidden="false" customHeight="true" outlineLevel="0" collapsed="false">
      <c r="A6" s="3" t="s">
        <v>4</v>
      </c>
    </row>
    <row r="7" customFormat="false" ht="14.25" hidden="false" customHeight="true" outlineLevel="0" collapsed="false">
      <c r="A7" s="3" t="s">
        <v>5</v>
      </c>
    </row>
    <row r="8" customFormat="false" ht="14.25" hidden="false" customHeight="true" outlineLevel="0" collapsed="false">
      <c r="A8" s="3" t="s">
        <v>6</v>
      </c>
    </row>
    <row r="9" customFormat="false" ht="14.25" hidden="false" customHeight="true" outlineLevel="0" collapsed="false">
      <c r="A9" s="3"/>
    </row>
    <row r="10" customFormat="false" ht="14.25" hidden="false" customHeight="true" outlineLevel="0" collapsed="false">
      <c r="A10" s="4" t="s">
        <v>7</v>
      </c>
    </row>
    <row r="11" customFormat="false" ht="14.25" hidden="false" customHeight="true" outlineLevel="0" collapsed="false">
      <c r="A11" s="3" t="s">
        <v>8</v>
      </c>
    </row>
    <row r="12" customFormat="false" ht="14.25" hidden="false" customHeight="true" outlineLevel="0" collapsed="false">
      <c r="A12" s="3" t="s">
        <v>9</v>
      </c>
    </row>
    <row r="13" customFormat="false" ht="26.25" hidden="false" customHeight="true" outlineLevel="0" collapsed="false">
      <c r="A13" s="3" t="s">
        <v>10</v>
      </c>
    </row>
    <row r="14" customFormat="false" ht="26.25" hidden="false" customHeight="true" outlineLevel="0" collapsed="false">
      <c r="A14" s="3" t="s">
        <v>11</v>
      </c>
    </row>
    <row r="15" customFormat="false" ht="14.25" hidden="false" customHeight="true" outlineLevel="0" collapsed="false">
      <c r="A15" s="3" t="s">
        <v>12</v>
      </c>
    </row>
    <row r="16" customFormat="false" ht="14.25" hidden="false" customHeight="true" outlineLevel="0" collapsed="false">
      <c r="A16" s="3" t="s">
        <v>13</v>
      </c>
    </row>
    <row r="17" customFormat="false" ht="14.25" hidden="false" customHeight="true" outlineLevel="0" collapsed="false">
      <c r="A17" s="4" t="s">
        <v>14</v>
      </c>
    </row>
    <row r="18" customFormat="false" ht="14.25" hidden="false" customHeight="true" outlineLevel="0" collapsed="false">
      <c r="A18" s="3" t="s">
        <v>15</v>
      </c>
    </row>
    <row r="19" customFormat="false" ht="14.25" hidden="false" customHeight="true" outlineLevel="0" collapsed="false">
      <c r="A19" s="3"/>
    </row>
    <row r="20" customFormat="false" ht="14.25" hidden="false" customHeight="true" outlineLevel="0" collapsed="false">
      <c r="A20" s="4" t="s">
        <v>16</v>
      </c>
    </row>
    <row r="21" customFormat="false" ht="14.25" hidden="false" customHeight="true" outlineLevel="0" collapsed="false">
      <c r="A21" s="3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30"/>
    <col collapsed="false" customWidth="true" hidden="false" outlineLevel="0" max="3" min="3" style="1" width="14"/>
    <col collapsed="false" customWidth="true" hidden="false" outlineLevel="0" max="4" min="4" style="1" width="9"/>
    <col collapsed="false" customWidth="true" hidden="false" outlineLevel="0" max="5" min="5" style="1" width="13"/>
    <col collapsed="false" customWidth="true" hidden="false" outlineLevel="0" max="6" min="6" style="1" width="14"/>
    <col collapsed="false" customWidth="true" hidden="false" outlineLevel="0" max="7" min="7" style="1" width="24"/>
    <col collapsed="false" customWidth="true" hidden="false" outlineLevel="0" max="8" min="8" style="1" width="18"/>
    <col collapsed="false" customWidth="true" hidden="false" outlineLevel="0" max="9" min="9" style="1" width="32"/>
    <col collapsed="false" customWidth="true" hidden="false" outlineLevel="0" max="10" min="10" style="1" width="12"/>
    <col collapsed="false" customWidth="true" hidden="false" outlineLevel="0" max="13" min="11" style="1" width="11"/>
    <col collapsed="false" customWidth="true" hidden="false" outlineLevel="0" max="15" min="14" style="1" width="22"/>
  </cols>
  <sheetData>
    <row r="1" customFormat="false" ht="31.5" hidden="false" customHeight="true" outlineLevel="0" collapsed="false">
      <c r="A1" s="5" t="s">
        <v>18</v>
      </c>
      <c r="B1" s="5" t="s">
        <v>19</v>
      </c>
      <c r="C1" s="5" t="s">
        <v>20</v>
      </c>
      <c r="D1" s="5" t="s">
        <v>21</v>
      </c>
      <c r="E1" s="5" t="s">
        <v>22</v>
      </c>
      <c r="F1" s="5" t="s">
        <v>23</v>
      </c>
      <c r="G1" s="5" t="s">
        <v>24</v>
      </c>
      <c r="H1" s="5" t="s">
        <v>25</v>
      </c>
      <c r="I1" s="5" t="s">
        <v>26</v>
      </c>
      <c r="J1" s="5" t="s">
        <v>27</v>
      </c>
      <c r="K1" s="5" t="s">
        <v>28</v>
      </c>
      <c r="L1" s="5" t="s">
        <v>29</v>
      </c>
      <c r="M1" s="5" t="s">
        <v>30</v>
      </c>
      <c r="N1" s="5" t="s">
        <v>31</v>
      </c>
      <c r="O1" s="5" t="s">
        <v>32</v>
      </c>
    </row>
    <row r="2" customFormat="false" ht="14.25" hidden="false" customHeight="true" outlineLevel="0" collapsed="false">
      <c r="A2" s="6" t="n">
        <v>46311.875</v>
      </c>
      <c r="B2" s="7" t="s">
        <v>33</v>
      </c>
      <c r="C2" s="8" t="n">
        <v>46305</v>
      </c>
      <c r="D2" s="9" t="n">
        <f aca="false">IF(OR(B2="",C2=""),"",IFERROR(C2-INDEX(Films!$C$2:$C$100,MATCH(B2,Films!$A$2:$A$100,0))+1,""))</f>
        <v>9</v>
      </c>
      <c r="E2" s="10" t="n">
        <v>18.5</v>
      </c>
      <c r="F2" s="7" t="s">
        <v>34</v>
      </c>
      <c r="G2" s="7" t="s">
        <v>35</v>
      </c>
      <c r="H2" s="7" t="s">
        <v>36</v>
      </c>
      <c r="I2" s="7" t="s">
        <v>37</v>
      </c>
      <c r="J2" s="9" t="n">
        <f aca="false">IF(B2="","",COUNTIFS($B$2:$B$500,B2,$C$2:$C$500,C2,$F$2:$F$500,F2,$H$2:$H$500,"Trade estimate"))</f>
        <v>3</v>
      </c>
      <c r="K2" s="11" t="n">
        <f aca="false">IF(OR(J2="",J2=0),"",_xlfn.MAXIFS($E$2:$E$500,$B$2:$B$500,B2,$C$2:$C$500,C2,$F$2:$F$500,F2,$H$2:$H$500,"Trade estimate"))</f>
        <v>18.5</v>
      </c>
      <c r="L2" s="11" t="n">
        <f aca="false">IF(OR(J2="",J2=0),"",_xlfn.MINIFS($E$2:$E$500,$B$2:$B$500,B2,$C$2:$C$500,C2,$F$2:$F$500,F2,$H$2:$H$500,"Trade estimate"))</f>
        <v>17.9</v>
      </c>
      <c r="M2" s="12" t="n">
        <f aca="false">IF(OR(J2="",J2&lt;2),"",IF(L2=0,"",(K2-L2)/L2))</f>
        <v>0.0335195530726258</v>
      </c>
      <c r="N2" s="13" t="str">
        <f aca="false">IF(B2="","",IF(J2&lt;2,"Needs 2+ trade sources",IF(M2&gt;Lists!$E$2,"CHECK","OK")))</f>
        <v>OK</v>
      </c>
      <c r="O2" s="9" t="str">
        <f aca="false">IF(B2="","",IF(J2&lt;2,"Needs 2+ trade sources",IF(M2&lt;=Lists!$E$6,"Good",IF(M2&lt;=Lists!$E$2,"Moderate","Bad"))))</f>
        <v>Good</v>
      </c>
    </row>
    <row r="3" customFormat="false" ht="14.25" hidden="false" customHeight="true" outlineLevel="0" collapsed="false">
      <c r="A3" s="6" t="n">
        <v>46311.875</v>
      </c>
      <c r="B3" s="7" t="s">
        <v>33</v>
      </c>
      <c r="C3" s="8" t="n">
        <v>46305</v>
      </c>
      <c r="D3" s="9" t="n">
        <f aca="false">IF(OR(B3="",C3=""),"",IFERROR(C3-INDEX(Films!$C$2:$C$100,MATCH(B3,Films!$A$2:$A$100,0))+1,""))</f>
        <v>9</v>
      </c>
      <c r="E3" s="10" t="n">
        <v>17.9</v>
      </c>
      <c r="F3" s="7" t="s">
        <v>34</v>
      </c>
      <c r="G3" s="7" t="s">
        <v>38</v>
      </c>
      <c r="H3" s="7" t="s">
        <v>36</v>
      </c>
      <c r="I3" s="7" t="s">
        <v>37</v>
      </c>
      <c r="J3" s="9" t="n">
        <f aca="false">IF(B3="","",COUNTIFS($B$2:$B$500,B3,$C$2:$C$500,C3,$F$2:$F$500,F3,$H$2:$H$500,"Trade estimate"))</f>
        <v>3</v>
      </c>
      <c r="K3" s="11" t="n">
        <f aca="false">IF(OR(J3="",J3=0),"",_xlfn.MAXIFS($E$2:$E$500,$B$2:$B$500,B3,$C$2:$C$500,C3,$F$2:$F$500,F3,$H$2:$H$500,"Trade estimate"))</f>
        <v>18.5</v>
      </c>
      <c r="L3" s="11" t="n">
        <f aca="false">IF(OR(J3="",J3=0),"",_xlfn.MINIFS($E$2:$E$500,$B$2:$B$500,B3,$C$2:$C$500,C3,$F$2:$F$500,F3,$H$2:$H$500,"Trade estimate"))</f>
        <v>17.9</v>
      </c>
      <c r="M3" s="12" t="n">
        <f aca="false">IF(OR(J3="",J3&lt;2),"",IF(L3=0,"",(K3-L3)/L3))</f>
        <v>0.0335195530726258</v>
      </c>
      <c r="N3" s="13" t="str">
        <f aca="false">IF(B3="","",IF(J3&lt;2,"Needs 2+ trade sources",IF(M3&gt;Lists!$E$2,"CHECK","OK")))</f>
        <v>OK</v>
      </c>
      <c r="O3" s="9" t="str">
        <f aca="false">IF(B3="","",IF(J3&lt;2,"Needs 2+ trade sources",IF(M3&lt;=Lists!$E$6,"Good",IF(M3&lt;=Lists!$E$2,"Moderate","Bad"))))</f>
        <v>Good</v>
      </c>
    </row>
    <row r="4" customFormat="false" ht="14.25" hidden="false" customHeight="true" outlineLevel="0" collapsed="false">
      <c r="A4" s="6" t="n">
        <v>46311.875</v>
      </c>
      <c r="B4" s="7" t="s">
        <v>33</v>
      </c>
      <c r="C4" s="8" t="n">
        <v>46305</v>
      </c>
      <c r="D4" s="9" t="n">
        <f aca="false">IF(OR(B4="",C4=""),"",IFERROR(C4-INDEX(Films!$C$2:$C$100,MATCH(B4,Films!$A$2:$A$100,0))+1,""))</f>
        <v>9</v>
      </c>
      <c r="E4" s="10" t="n">
        <v>18.1</v>
      </c>
      <c r="F4" s="7" t="s">
        <v>34</v>
      </c>
      <c r="G4" s="7" t="s">
        <v>39</v>
      </c>
      <c r="H4" s="7" t="s">
        <v>36</v>
      </c>
      <c r="I4" s="7" t="s">
        <v>37</v>
      </c>
      <c r="J4" s="9" t="n">
        <f aca="false">IF(B4="","",COUNTIFS($B$2:$B$500,B4,$C$2:$C$500,C4,$F$2:$F$500,F4,$H$2:$H$500,"Trade estimate"))</f>
        <v>3</v>
      </c>
      <c r="K4" s="11" t="n">
        <f aca="false">IF(OR(J4="",J4=0),"",_xlfn.MAXIFS($E$2:$E$500,$B$2:$B$500,B4,$C$2:$C$500,C4,$F$2:$F$500,F4,$H$2:$H$500,"Trade estimate"))</f>
        <v>18.5</v>
      </c>
      <c r="L4" s="11" t="n">
        <f aca="false">IF(OR(J4="",J4=0),"",_xlfn.MINIFS($E$2:$E$500,$B$2:$B$500,B4,$C$2:$C$500,C4,$F$2:$F$500,F4,$H$2:$H$500,"Trade estimate"))</f>
        <v>17.9</v>
      </c>
      <c r="M4" s="12" t="n">
        <f aca="false">IF(OR(J4="",J4&lt;2),"",IF(L4=0,"",(K4-L4)/L4))</f>
        <v>0.0335195530726258</v>
      </c>
      <c r="N4" s="13" t="str">
        <f aca="false">IF(B4="","",IF(J4&lt;2,"Needs 2+ trade sources",IF(M4&gt;Lists!$E$2,"CHECK","OK")))</f>
        <v>OK</v>
      </c>
      <c r="O4" s="9" t="str">
        <f aca="false">IF(B4="","",IF(J4&lt;2,"Needs 2+ trade sources",IF(M4&lt;=Lists!$E$6,"Good",IF(M4&lt;=Lists!$E$2,"Moderate","Bad"))))</f>
        <v>Good</v>
      </c>
    </row>
    <row r="5" customFormat="false" ht="14.25" hidden="false" customHeight="true" outlineLevel="0" collapsed="false">
      <c r="A5" s="6" t="n">
        <v>46311.875</v>
      </c>
      <c r="B5" s="7" t="s">
        <v>33</v>
      </c>
      <c r="C5" s="8" t="n">
        <v>46305</v>
      </c>
      <c r="D5" s="9" t="n">
        <f aca="false">IF(OR(B5="",C5=""),"",IFERROR(C5-INDEX(Films!$C$2:$C$100,MATCH(B5,Films!$A$2:$A$100,0))+1,""))</f>
        <v>9</v>
      </c>
      <c r="E5" s="10" t="n">
        <v>20.2</v>
      </c>
      <c r="F5" s="7" t="s">
        <v>34</v>
      </c>
      <c r="G5" s="7" t="s">
        <v>40</v>
      </c>
      <c r="H5" s="7" t="s">
        <v>41</v>
      </c>
      <c r="I5" s="7" t="s">
        <v>42</v>
      </c>
      <c r="J5" s="9" t="n">
        <f aca="false">IF(B5="","",COUNTIFS($B$2:$B$500,B5,$C$2:$C$500,C5,$F$2:$F$500,F5,$H$2:$H$500,"Trade estimate"))</f>
        <v>3</v>
      </c>
      <c r="K5" s="11" t="n">
        <f aca="false">IF(OR(J5="",J5=0),"",_xlfn.MAXIFS($E$2:$E$500,$B$2:$B$500,B5,$C$2:$C$500,C5,$F$2:$F$500,F5,$H$2:$H$500,"Trade estimate"))</f>
        <v>18.5</v>
      </c>
      <c r="L5" s="11" t="n">
        <f aca="false">IF(OR(J5="",J5=0),"",_xlfn.MINIFS($E$2:$E$500,$B$2:$B$500,B5,$C$2:$C$500,C5,$F$2:$F$500,F5,$H$2:$H$500,"Trade estimate"))</f>
        <v>17.9</v>
      </c>
      <c r="M5" s="12" t="n">
        <f aca="false">IF(OR(J5="",J5&lt;2),"",IF(L5=0,"",(K5-L5)/L5))</f>
        <v>0.0335195530726258</v>
      </c>
      <c r="N5" s="13" t="str">
        <f aca="false">IF(B5="","",IF(J5&lt;2,"Needs 2+ trade sources",IF(M5&gt;Lists!$E$2,"CHECK","OK")))</f>
        <v>OK</v>
      </c>
      <c r="O5" s="9" t="str">
        <f aca="false">IF(B5="","",IF(J5&lt;2,"Needs 2+ trade sources",IF(M5&lt;=Lists!$E$6,"Good",IF(M5&lt;=Lists!$E$2,"Moderate","Bad"))))</f>
        <v>Good</v>
      </c>
    </row>
    <row r="6" customFormat="false" ht="14.25" hidden="false" customHeight="true" outlineLevel="0" collapsed="false">
      <c r="A6" s="6" t="n">
        <v>46311.875</v>
      </c>
      <c r="B6" s="7" t="s">
        <v>33</v>
      </c>
      <c r="C6" s="8" t="n">
        <v>46306</v>
      </c>
      <c r="D6" s="9" t="n">
        <f aca="false">IF(OR(B6="",C6=""),"",IFERROR(C6-INDEX(Films!$C$2:$C$100,MATCH(B6,Films!$A$2:$A$100,0))+1,""))</f>
        <v>10</v>
      </c>
      <c r="E6" s="10" t="n">
        <v>24.2</v>
      </c>
      <c r="F6" s="7" t="s">
        <v>34</v>
      </c>
      <c r="G6" s="7" t="s">
        <v>35</v>
      </c>
      <c r="H6" s="7" t="s">
        <v>36</v>
      </c>
      <c r="I6" s="7" t="s">
        <v>37</v>
      </c>
      <c r="J6" s="9" t="n">
        <f aca="false">IF(B6="","",COUNTIFS($B$2:$B$500,B6,$C$2:$C$500,C6,$F$2:$F$500,F6,$H$2:$H$500,"Trade estimate"))</f>
        <v>3</v>
      </c>
      <c r="K6" s="11" t="n">
        <f aca="false">IF(OR(J6="",J6=0),"",_xlfn.MAXIFS($E$2:$E$500,$B$2:$B$500,B6,$C$2:$C$500,C6,$F$2:$F$500,F6,$H$2:$H$500,"Trade estimate"))</f>
        <v>24.2</v>
      </c>
      <c r="L6" s="11" t="n">
        <f aca="false">IF(OR(J6="",J6=0),"",_xlfn.MINIFS($E$2:$E$500,$B$2:$B$500,B6,$C$2:$C$500,C6,$F$2:$F$500,F6,$H$2:$H$500,"Trade estimate"))</f>
        <v>23.6</v>
      </c>
      <c r="M6" s="12" t="n">
        <f aca="false">IF(OR(J6="",J6&lt;2),"",IF(L6=0,"",(K6-L6)/L6))</f>
        <v>0.0254237288135592</v>
      </c>
      <c r="N6" s="13" t="str">
        <f aca="false">IF(B6="","",IF(J6&lt;2,"Needs 2+ trade sources",IF(M6&gt;Lists!$E$2,"CHECK","OK")))</f>
        <v>OK</v>
      </c>
      <c r="O6" s="9" t="str">
        <f aca="false">IF(B6="","",IF(J6&lt;2,"Needs 2+ trade sources",IF(M6&lt;=Lists!$E$6,"Good",IF(M6&lt;=Lists!$E$2,"Moderate","Bad"))))</f>
        <v>Good</v>
      </c>
    </row>
    <row r="7" customFormat="false" ht="14.25" hidden="false" customHeight="true" outlineLevel="0" collapsed="false">
      <c r="A7" s="6" t="n">
        <v>46311.875</v>
      </c>
      <c r="B7" s="7" t="s">
        <v>33</v>
      </c>
      <c r="C7" s="8" t="n">
        <v>46306</v>
      </c>
      <c r="D7" s="9" t="n">
        <f aca="false">IF(OR(B7="",C7=""),"",IFERROR(C7-INDEX(Films!$C$2:$C$100,MATCH(B7,Films!$A$2:$A$100,0))+1,""))</f>
        <v>10</v>
      </c>
      <c r="E7" s="10" t="n">
        <v>23.6</v>
      </c>
      <c r="F7" s="7" t="s">
        <v>34</v>
      </c>
      <c r="G7" s="7" t="s">
        <v>38</v>
      </c>
      <c r="H7" s="7" t="s">
        <v>36</v>
      </c>
      <c r="I7" s="7" t="s">
        <v>37</v>
      </c>
      <c r="J7" s="9" t="n">
        <f aca="false">IF(B7="","",COUNTIFS($B$2:$B$500,B7,$C$2:$C$500,C7,$F$2:$F$500,F7,$H$2:$H$500,"Trade estimate"))</f>
        <v>3</v>
      </c>
      <c r="K7" s="11" t="n">
        <f aca="false">IF(OR(J7="",J7=0),"",_xlfn.MAXIFS($E$2:$E$500,$B$2:$B$500,B7,$C$2:$C$500,C7,$F$2:$F$500,F7,$H$2:$H$500,"Trade estimate"))</f>
        <v>24.2</v>
      </c>
      <c r="L7" s="11" t="n">
        <f aca="false">IF(OR(J7="",J7=0),"",_xlfn.MINIFS($E$2:$E$500,$B$2:$B$500,B7,$C$2:$C$500,C7,$F$2:$F$500,F7,$H$2:$H$500,"Trade estimate"))</f>
        <v>23.6</v>
      </c>
      <c r="M7" s="12" t="n">
        <f aca="false">IF(OR(J7="",J7&lt;2),"",IF(L7=0,"",(K7-L7)/L7))</f>
        <v>0.0254237288135592</v>
      </c>
      <c r="N7" s="13" t="str">
        <f aca="false">IF(B7="","",IF(J7&lt;2,"Needs 2+ trade sources",IF(M7&gt;Lists!$E$2,"CHECK","OK")))</f>
        <v>OK</v>
      </c>
      <c r="O7" s="9" t="str">
        <f aca="false">IF(B7="","",IF(J7&lt;2,"Needs 2+ trade sources",IF(M7&lt;=Lists!$E$6,"Good",IF(M7&lt;=Lists!$E$2,"Moderate","Bad"))))</f>
        <v>Good</v>
      </c>
    </row>
    <row r="8" customFormat="false" ht="14.25" hidden="false" customHeight="true" outlineLevel="0" collapsed="false">
      <c r="A8" s="6" t="n">
        <v>46311.875</v>
      </c>
      <c r="B8" s="7" t="s">
        <v>33</v>
      </c>
      <c r="C8" s="8" t="n">
        <v>46306</v>
      </c>
      <c r="D8" s="9" t="n">
        <f aca="false">IF(OR(B8="",C8=""),"",IFERROR(C8-INDEX(Films!$C$2:$C$100,MATCH(B8,Films!$A$2:$A$100,0))+1,""))</f>
        <v>10</v>
      </c>
      <c r="E8" s="10" t="n">
        <v>23.85</v>
      </c>
      <c r="F8" s="7" t="s">
        <v>34</v>
      </c>
      <c r="G8" s="7" t="s">
        <v>39</v>
      </c>
      <c r="H8" s="7" t="s">
        <v>36</v>
      </c>
      <c r="I8" s="7" t="s">
        <v>37</v>
      </c>
      <c r="J8" s="9" t="n">
        <f aca="false">IF(B8="","",COUNTIFS($B$2:$B$500,B8,$C$2:$C$500,C8,$F$2:$F$500,F8,$H$2:$H$500,"Trade estimate"))</f>
        <v>3</v>
      </c>
      <c r="K8" s="11" t="n">
        <f aca="false">IF(OR(J8="",J8=0),"",_xlfn.MAXIFS($E$2:$E$500,$B$2:$B$500,B8,$C$2:$C$500,C8,$F$2:$F$500,F8,$H$2:$H$500,"Trade estimate"))</f>
        <v>24.2</v>
      </c>
      <c r="L8" s="11" t="n">
        <f aca="false">IF(OR(J8="",J8=0),"",_xlfn.MINIFS($E$2:$E$500,$B$2:$B$500,B8,$C$2:$C$500,C8,$F$2:$F$500,F8,$H$2:$H$500,"Trade estimate"))</f>
        <v>23.6</v>
      </c>
      <c r="M8" s="12" t="n">
        <f aca="false">IF(OR(J8="",J8&lt;2),"",IF(L8=0,"",(K8-L8)/L8))</f>
        <v>0.0254237288135592</v>
      </c>
      <c r="N8" s="13" t="str">
        <f aca="false">IF(B8="","",IF(J8&lt;2,"Needs 2+ trade sources",IF(M8&gt;Lists!$E$2,"CHECK","OK")))</f>
        <v>OK</v>
      </c>
      <c r="O8" s="9" t="str">
        <f aca="false">IF(B8="","",IF(J8&lt;2,"Needs 2+ trade sources",IF(M8&lt;=Lists!$E$6,"Good",IF(M8&lt;=Lists!$E$2,"Moderate","Bad"))))</f>
        <v>Good</v>
      </c>
    </row>
    <row r="9" customFormat="false" ht="14.25" hidden="false" customHeight="true" outlineLevel="0" collapsed="false">
      <c r="A9" s="6" t="n">
        <v>46311.875</v>
      </c>
      <c r="B9" s="7" t="s">
        <v>33</v>
      </c>
      <c r="C9" s="8" t="n">
        <v>46306</v>
      </c>
      <c r="D9" s="9" t="n">
        <f aca="false">IF(OR(B9="",C9=""),"",IFERROR(C9-INDEX(Films!$C$2:$C$100,MATCH(B9,Films!$A$2:$A$100,0))+1,""))</f>
        <v>10</v>
      </c>
      <c r="E9" s="10" t="n">
        <v>26.5</v>
      </c>
      <c r="F9" s="7" t="s">
        <v>34</v>
      </c>
      <c r="G9" s="7" t="s">
        <v>40</v>
      </c>
      <c r="H9" s="7" t="s">
        <v>41</v>
      </c>
      <c r="I9" s="7" t="s">
        <v>42</v>
      </c>
      <c r="J9" s="9" t="n">
        <f aca="false">IF(B9="","",COUNTIFS($B$2:$B$500,B9,$C$2:$C$500,C9,$F$2:$F$500,F9,$H$2:$H$500,"Trade estimate"))</f>
        <v>3</v>
      </c>
      <c r="K9" s="11" t="n">
        <f aca="false">IF(OR(J9="",J9=0),"",_xlfn.MAXIFS($E$2:$E$500,$B$2:$B$500,B9,$C$2:$C$500,C9,$F$2:$F$500,F9,$H$2:$H$500,"Trade estimate"))</f>
        <v>24.2</v>
      </c>
      <c r="L9" s="11" t="n">
        <f aca="false">IF(OR(J9="",J9=0),"",_xlfn.MINIFS($E$2:$E$500,$B$2:$B$500,B9,$C$2:$C$500,C9,$F$2:$F$500,F9,$H$2:$H$500,"Trade estimate"))</f>
        <v>23.6</v>
      </c>
      <c r="M9" s="12" t="n">
        <f aca="false">IF(OR(J9="",J9&lt;2),"",IF(L9=0,"",(K9-L9)/L9))</f>
        <v>0.0254237288135592</v>
      </c>
      <c r="N9" s="13" t="str">
        <f aca="false">IF(B9="","",IF(J9&lt;2,"Needs 2+ trade sources",IF(M9&gt;Lists!$E$2,"CHECK","OK")))</f>
        <v>OK</v>
      </c>
      <c r="O9" s="9" t="str">
        <f aca="false">IF(B9="","",IF(J9&lt;2,"Needs 2+ trade sources",IF(M9&lt;=Lists!$E$6,"Good",IF(M9&lt;=Lists!$E$2,"Moderate","Bad"))))</f>
        <v>Good</v>
      </c>
    </row>
    <row r="10" customFormat="false" ht="14.25" hidden="false" customHeight="true" outlineLevel="0" collapsed="false">
      <c r="A10" s="6" t="n">
        <v>46311.875</v>
      </c>
      <c r="B10" s="7" t="s">
        <v>33</v>
      </c>
      <c r="C10" s="8" t="n">
        <v>46307</v>
      </c>
      <c r="D10" s="9" t="n">
        <f aca="false">IF(OR(B10="",C10=""),"",IFERROR(C10-INDEX(Films!$C$2:$C$100,MATCH(B10,Films!$A$2:$A$100,0))+1,""))</f>
        <v>11</v>
      </c>
      <c r="E10" s="10" t="n">
        <v>11.1</v>
      </c>
      <c r="F10" s="7" t="s">
        <v>34</v>
      </c>
      <c r="G10" s="7" t="s">
        <v>35</v>
      </c>
      <c r="H10" s="7" t="s">
        <v>36</v>
      </c>
      <c r="I10" s="7" t="s">
        <v>37</v>
      </c>
      <c r="J10" s="9" t="n">
        <f aca="false">IF(B10="","",COUNTIFS($B$2:$B$500,B10,$C$2:$C$500,C10,$F$2:$F$500,F10,$H$2:$H$500,"Trade estimate"))</f>
        <v>3</v>
      </c>
      <c r="K10" s="11" t="n">
        <f aca="false">IF(OR(J10="",J10=0),"",_xlfn.MAXIFS($E$2:$E$500,$B$2:$B$500,B10,$C$2:$C$500,C10,$F$2:$F$500,F10,$H$2:$H$500,"Trade estimate"))</f>
        <v>11.1</v>
      </c>
      <c r="L10" s="11" t="n">
        <f aca="false">IF(OR(J10="",J10=0),"",_xlfn.MINIFS($E$2:$E$500,$B$2:$B$500,B10,$C$2:$C$500,C10,$F$2:$F$500,F10,$H$2:$H$500,"Trade estimate"))</f>
        <v>10.8</v>
      </c>
      <c r="M10" s="12" t="n">
        <f aca="false">IF(OR(J10="",J10&lt;2),"",IF(L10=0,"",(K10-L10)/L10))</f>
        <v>0.0277777777777777</v>
      </c>
      <c r="N10" s="13" t="str">
        <f aca="false">IF(B10="","",IF(J10&lt;2,"Needs 2+ trade sources",IF(M10&gt;Lists!$E$2,"CHECK","OK")))</f>
        <v>OK</v>
      </c>
      <c r="O10" s="9" t="str">
        <f aca="false">IF(B10="","",IF(J10&lt;2,"Needs 2+ trade sources",IF(M10&lt;=Lists!$E$6,"Good",IF(M10&lt;=Lists!$E$2,"Moderate","Bad"))))</f>
        <v>Good</v>
      </c>
    </row>
    <row r="11" customFormat="false" ht="14.25" hidden="false" customHeight="true" outlineLevel="0" collapsed="false">
      <c r="A11" s="6" t="n">
        <v>46311.875</v>
      </c>
      <c r="B11" s="7" t="s">
        <v>33</v>
      </c>
      <c r="C11" s="8" t="n">
        <v>46307</v>
      </c>
      <c r="D11" s="9" t="n">
        <f aca="false">IF(OR(B11="",C11=""),"",IFERROR(C11-INDEX(Films!$C$2:$C$100,MATCH(B11,Films!$A$2:$A$100,0))+1,""))</f>
        <v>11</v>
      </c>
      <c r="E11" s="10" t="n">
        <v>10.8</v>
      </c>
      <c r="F11" s="7" t="s">
        <v>34</v>
      </c>
      <c r="G11" s="7" t="s">
        <v>38</v>
      </c>
      <c r="H11" s="7" t="s">
        <v>36</v>
      </c>
      <c r="I11" s="7" t="s">
        <v>37</v>
      </c>
      <c r="J11" s="9" t="n">
        <f aca="false">IF(B11="","",COUNTIFS($B$2:$B$500,B11,$C$2:$C$500,C11,$F$2:$F$500,F11,$H$2:$H$500,"Trade estimate"))</f>
        <v>3</v>
      </c>
      <c r="K11" s="11" t="n">
        <f aca="false">IF(OR(J11="",J11=0),"",_xlfn.MAXIFS($E$2:$E$500,$B$2:$B$500,B11,$C$2:$C$500,C11,$F$2:$F$500,F11,$H$2:$H$500,"Trade estimate"))</f>
        <v>11.1</v>
      </c>
      <c r="L11" s="11" t="n">
        <f aca="false">IF(OR(J11="",J11=0),"",_xlfn.MINIFS($E$2:$E$500,$B$2:$B$500,B11,$C$2:$C$500,C11,$F$2:$F$500,F11,$H$2:$H$500,"Trade estimate"))</f>
        <v>10.8</v>
      </c>
      <c r="M11" s="12" t="n">
        <f aca="false">IF(OR(J11="",J11&lt;2),"",IF(L11=0,"",(K11-L11)/L11))</f>
        <v>0.0277777777777777</v>
      </c>
      <c r="N11" s="13" t="str">
        <f aca="false">IF(B11="","",IF(J11&lt;2,"Needs 2+ trade sources",IF(M11&gt;Lists!$E$2,"CHECK","OK")))</f>
        <v>OK</v>
      </c>
      <c r="O11" s="9" t="str">
        <f aca="false">IF(B11="","",IF(J11&lt;2,"Needs 2+ trade sources",IF(M11&lt;=Lists!$E$6,"Good",IF(M11&lt;=Lists!$E$2,"Moderate","Bad"))))</f>
        <v>Good</v>
      </c>
    </row>
    <row r="12" customFormat="false" ht="14.25" hidden="false" customHeight="true" outlineLevel="0" collapsed="false">
      <c r="A12" s="6" t="n">
        <v>46311.875</v>
      </c>
      <c r="B12" s="7" t="s">
        <v>33</v>
      </c>
      <c r="C12" s="8" t="n">
        <v>46307</v>
      </c>
      <c r="D12" s="9" t="n">
        <f aca="false">IF(OR(B12="",C12=""),"",IFERROR(C12-INDEX(Films!$C$2:$C$100,MATCH(B12,Films!$A$2:$A$100,0))+1,""))</f>
        <v>11</v>
      </c>
      <c r="E12" s="10" t="n">
        <v>10.95</v>
      </c>
      <c r="F12" s="7" t="s">
        <v>34</v>
      </c>
      <c r="G12" s="7" t="s">
        <v>39</v>
      </c>
      <c r="H12" s="7" t="s">
        <v>36</v>
      </c>
      <c r="I12" s="7" t="s">
        <v>37</v>
      </c>
      <c r="J12" s="9" t="n">
        <f aca="false">IF(B12="","",COUNTIFS($B$2:$B$500,B12,$C$2:$C$500,C12,$F$2:$F$500,F12,$H$2:$H$500,"Trade estimate"))</f>
        <v>3</v>
      </c>
      <c r="K12" s="11" t="n">
        <f aca="false">IF(OR(J12="",J12=0),"",_xlfn.MAXIFS($E$2:$E$500,$B$2:$B$500,B12,$C$2:$C$500,C12,$F$2:$F$500,F12,$H$2:$H$500,"Trade estimate"))</f>
        <v>11.1</v>
      </c>
      <c r="L12" s="11" t="n">
        <f aca="false">IF(OR(J12="",J12=0),"",_xlfn.MINIFS($E$2:$E$500,$B$2:$B$500,B12,$C$2:$C$500,C12,$F$2:$F$500,F12,$H$2:$H$500,"Trade estimate"))</f>
        <v>10.8</v>
      </c>
      <c r="M12" s="12" t="n">
        <f aca="false">IF(OR(J12="",J12&lt;2),"",IF(L12=0,"",(K12-L12)/L12))</f>
        <v>0.0277777777777777</v>
      </c>
      <c r="N12" s="13" t="str">
        <f aca="false">IF(B12="","",IF(J12&lt;2,"Needs 2+ trade sources",IF(M12&gt;Lists!$E$2,"CHECK","OK")))</f>
        <v>OK</v>
      </c>
      <c r="O12" s="9" t="str">
        <f aca="false">IF(B12="","",IF(J12&lt;2,"Needs 2+ trade sources",IF(M12&lt;=Lists!$E$6,"Good",IF(M12&lt;=Lists!$E$2,"Moderate","Bad"))))</f>
        <v>Good</v>
      </c>
    </row>
    <row r="13" customFormat="false" ht="14.25" hidden="false" customHeight="true" outlineLevel="0" collapsed="false">
      <c r="A13" s="6" t="n">
        <v>46311.875</v>
      </c>
      <c r="B13" s="7" t="s">
        <v>33</v>
      </c>
      <c r="C13" s="8" t="n">
        <v>46307</v>
      </c>
      <c r="D13" s="9" t="n">
        <f aca="false">IF(OR(B13="",C13=""),"",IFERROR(C13-INDEX(Films!$C$2:$C$100,MATCH(B13,Films!$A$2:$A$100,0))+1,""))</f>
        <v>11</v>
      </c>
      <c r="E13" s="10" t="n">
        <v>12.4</v>
      </c>
      <c r="F13" s="7" t="s">
        <v>34</v>
      </c>
      <c r="G13" s="7" t="s">
        <v>40</v>
      </c>
      <c r="H13" s="7" t="s">
        <v>41</v>
      </c>
      <c r="I13" s="7" t="s">
        <v>42</v>
      </c>
      <c r="J13" s="9" t="n">
        <f aca="false">IF(B13="","",COUNTIFS($B$2:$B$500,B13,$C$2:$C$500,C13,$F$2:$F$500,F13,$H$2:$H$500,"Trade estimate"))</f>
        <v>3</v>
      </c>
      <c r="K13" s="11" t="n">
        <f aca="false">IF(OR(J13="",J13=0),"",_xlfn.MAXIFS($E$2:$E$500,$B$2:$B$500,B13,$C$2:$C$500,C13,$F$2:$F$500,F13,$H$2:$H$500,"Trade estimate"))</f>
        <v>11.1</v>
      </c>
      <c r="L13" s="11" t="n">
        <f aca="false">IF(OR(J13="",J13=0),"",_xlfn.MINIFS($E$2:$E$500,$B$2:$B$500,B13,$C$2:$C$500,C13,$F$2:$F$500,F13,$H$2:$H$500,"Trade estimate"))</f>
        <v>10.8</v>
      </c>
      <c r="M13" s="12" t="n">
        <f aca="false">IF(OR(J13="",J13&lt;2),"",IF(L13=0,"",(K13-L13)/L13))</f>
        <v>0.0277777777777777</v>
      </c>
      <c r="N13" s="13" t="str">
        <f aca="false">IF(B13="","",IF(J13&lt;2,"Needs 2+ trade sources",IF(M13&gt;Lists!$E$2,"CHECK","OK")))</f>
        <v>OK</v>
      </c>
      <c r="O13" s="9" t="str">
        <f aca="false">IF(B13="","",IF(J13&lt;2,"Needs 2+ trade sources",IF(M13&lt;=Lists!$E$6,"Good",IF(M13&lt;=Lists!$E$2,"Moderate","Bad"))))</f>
        <v>Good</v>
      </c>
    </row>
    <row r="14" customFormat="false" ht="14.25" hidden="false" customHeight="true" outlineLevel="0" collapsed="false">
      <c r="A14" s="6" t="n">
        <v>46311.875</v>
      </c>
      <c r="B14" s="7" t="s">
        <v>33</v>
      </c>
      <c r="C14" s="8" t="n">
        <v>46308</v>
      </c>
      <c r="D14" s="9" t="n">
        <f aca="false">IF(OR(B14="",C14=""),"",IFERROR(C14-INDEX(Films!$C$2:$C$100,MATCH(B14,Films!$A$2:$A$100,0))+1,""))</f>
        <v>12</v>
      </c>
      <c r="E14" s="10" t="n">
        <v>9.8</v>
      </c>
      <c r="F14" s="7" t="s">
        <v>34</v>
      </c>
      <c r="G14" s="7" t="s">
        <v>35</v>
      </c>
      <c r="H14" s="7" t="s">
        <v>36</v>
      </c>
      <c r="I14" s="7" t="s">
        <v>37</v>
      </c>
      <c r="J14" s="9" t="n">
        <f aca="false">IF(B14="","",COUNTIFS($B$2:$B$500,B14,$C$2:$C$500,C14,$F$2:$F$500,F14,$H$2:$H$500,"Trade estimate"))</f>
        <v>3</v>
      </c>
      <c r="K14" s="11" t="n">
        <f aca="false">IF(OR(J14="",J14=0),"",_xlfn.MAXIFS($E$2:$E$500,$B$2:$B$500,B14,$C$2:$C$500,C14,$F$2:$F$500,F14,$H$2:$H$500,"Trade estimate"))</f>
        <v>9.8</v>
      </c>
      <c r="L14" s="11" t="n">
        <f aca="false">IF(OR(J14="",J14=0),"",_xlfn.MINIFS($E$2:$E$500,$B$2:$B$500,B14,$C$2:$C$500,C14,$F$2:$F$500,F14,$H$2:$H$500,"Trade estimate"))</f>
        <v>9.5</v>
      </c>
      <c r="M14" s="12" t="n">
        <f aca="false">IF(OR(J14="",J14&lt;2),"",IF(L14=0,"",(K14-L14)/L14))</f>
        <v>0.0315789473684211</v>
      </c>
      <c r="N14" s="13" t="str">
        <f aca="false">IF(B14="","",IF(J14&lt;2,"Needs 2+ trade sources",IF(M14&gt;Lists!$E$2,"CHECK","OK")))</f>
        <v>OK</v>
      </c>
      <c r="O14" s="9" t="str">
        <f aca="false">IF(B14="","",IF(J14&lt;2,"Needs 2+ trade sources",IF(M14&lt;=Lists!$E$6,"Good",IF(M14&lt;=Lists!$E$2,"Moderate","Bad"))))</f>
        <v>Good</v>
      </c>
    </row>
    <row r="15" customFormat="false" ht="14.25" hidden="false" customHeight="true" outlineLevel="0" collapsed="false">
      <c r="A15" s="6" t="n">
        <v>46311.875</v>
      </c>
      <c r="B15" s="7" t="s">
        <v>33</v>
      </c>
      <c r="C15" s="8" t="n">
        <v>46308</v>
      </c>
      <c r="D15" s="9" t="n">
        <f aca="false">IF(OR(B15="",C15=""),"",IFERROR(C15-INDEX(Films!$C$2:$C$100,MATCH(B15,Films!$A$2:$A$100,0))+1,""))</f>
        <v>12</v>
      </c>
      <c r="E15" s="10" t="n">
        <v>9.5</v>
      </c>
      <c r="F15" s="7" t="s">
        <v>34</v>
      </c>
      <c r="G15" s="7" t="s">
        <v>38</v>
      </c>
      <c r="H15" s="7" t="s">
        <v>36</v>
      </c>
      <c r="I15" s="7" t="s">
        <v>37</v>
      </c>
      <c r="J15" s="9" t="n">
        <f aca="false">IF(B15="","",COUNTIFS($B$2:$B$500,B15,$C$2:$C$500,C15,$F$2:$F$500,F15,$H$2:$H$500,"Trade estimate"))</f>
        <v>3</v>
      </c>
      <c r="K15" s="11" t="n">
        <f aca="false">IF(OR(J15="",J15=0),"",_xlfn.MAXIFS($E$2:$E$500,$B$2:$B$500,B15,$C$2:$C$500,C15,$F$2:$F$500,F15,$H$2:$H$500,"Trade estimate"))</f>
        <v>9.8</v>
      </c>
      <c r="L15" s="11" t="n">
        <f aca="false">IF(OR(J15="",J15=0),"",_xlfn.MINIFS($E$2:$E$500,$B$2:$B$500,B15,$C$2:$C$500,C15,$F$2:$F$500,F15,$H$2:$H$500,"Trade estimate"))</f>
        <v>9.5</v>
      </c>
      <c r="M15" s="12" t="n">
        <f aca="false">IF(OR(J15="",J15&lt;2),"",IF(L15=0,"",(K15-L15)/L15))</f>
        <v>0.0315789473684211</v>
      </c>
      <c r="N15" s="13" t="str">
        <f aca="false">IF(B15="","",IF(J15&lt;2,"Needs 2+ trade sources",IF(M15&gt;Lists!$E$2,"CHECK","OK")))</f>
        <v>OK</v>
      </c>
      <c r="O15" s="9" t="str">
        <f aca="false">IF(B15="","",IF(J15&lt;2,"Needs 2+ trade sources",IF(M15&lt;=Lists!$E$6,"Good",IF(M15&lt;=Lists!$E$2,"Moderate","Bad"))))</f>
        <v>Good</v>
      </c>
    </row>
    <row r="16" customFormat="false" ht="14.25" hidden="false" customHeight="true" outlineLevel="0" collapsed="false">
      <c r="A16" s="6" t="n">
        <v>46311.875</v>
      </c>
      <c r="B16" s="7" t="s">
        <v>33</v>
      </c>
      <c r="C16" s="8" t="n">
        <v>46308</v>
      </c>
      <c r="D16" s="9" t="n">
        <f aca="false">IF(OR(B16="",C16=""),"",IFERROR(C16-INDEX(Films!$C$2:$C$100,MATCH(B16,Films!$A$2:$A$100,0))+1,""))</f>
        <v>12</v>
      </c>
      <c r="E16" s="10" t="n">
        <v>9.6</v>
      </c>
      <c r="F16" s="7" t="s">
        <v>34</v>
      </c>
      <c r="G16" s="7" t="s">
        <v>39</v>
      </c>
      <c r="H16" s="7" t="s">
        <v>36</v>
      </c>
      <c r="I16" s="7" t="s">
        <v>37</v>
      </c>
      <c r="J16" s="9" t="n">
        <f aca="false">IF(B16="","",COUNTIFS($B$2:$B$500,B16,$C$2:$C$500,C16,$F$2:$F$500,F16,$H$2:$H$500,"Trade estimate"))</f>
        <v>3</v>
      </c>
      <c r="K16" s="11" t="n">
        <f aca="false">IF(OR(J16="",J16=0),"",_xlfn.MAXIFS($E$2:$E$500,$B$2:$B$500,B16,$C$2:$C$500,C16,$F$2:$F$500,F16,$H$2:$H$500,"Trade estimate"))</f>
        <v>9.8</v>
      </c>
      <c r="L16" s="11" t="n">
        <f aca="false">IF(OR(J16="",J16=0),"",_xlfn.MINIFS($E$2:$E$500,$B$2:$B$500,B16,$C$2:$C$500,C16,$F$2:$F$500,F16,$H$2:$H$500,"Trade estimate"))</f>
        <v>9.5</v>
      </c>
      <c r="M16" s="12" t="n">
        <f aca="false">IF(OR(J16="",J16&lt;2),"",IF(L16=0,"",(K16-L16)/L16))</f>
        <v>0.0315789473684211</v>
      </c>
      <c r="N16" s="13" t="str">
        <f aca="false">IF(B16="","",IF(J16&lt;2,"Needs 2+ trade sources",IF(M16&gt;Lists!$E$2,"CHECK","OK")))</f>
        <v>OK</v>
      </c>
      <c r="O16" s="9" t="str">
        <f aca="false">IF(B16="","",IF(J16&lt;2,"Needs 2+ trade sources",IF(M16&lt;=Lists!$E$6,"Good",IF(M16&lt;=Lists!$E$2,"Moderate","Bad"))))</f>
        <v>Good</v>
      </c>
    </row>
    <row r="17" customFormat="false" ht="14.25" hidden="false" customHeight="true" outlineLevel="0" collapsed="false">
      <c r="A17" s="6" t="n">
        <v>46311.875</v>
      </c>
      <c r="B17" s="7" t="s">
        <v>33</v>
      </c>
      <c r="C17" s="8" t="n">
        <v>46308</v>
      </c>
      <c r="D17" s="9" t="n">
        <f aca="false">IF(OR(B17="",C17=""),"",IFERROR(C17-INDEX(Films!$C$2:$C$100,MATCH(B17,Films!$A$2:$A$100,0))+1,""))</f>
        <v>12</v>
      </c>
      <c r="E17" s="10" t="n">
        <v>11</v>
      </c>
      <c r="F17" s="7" t="s">
        <v>34</v>
      </c>
      <c r="G17" s="7" t="s">
        <v>40</v>
      </c>
      <c r="H17" s="7" t="s">
        <v>41</v>
      </c>
      <c r="I17" s="7" t="s">
        <v>42</v>
      </c>
      <c r="J17" s="9" t="n">
        <f aca="false">IF(B17="","",COUNTIFS($B$2:$B$500,B17,$C$2:$C$500,C17,$F$2:$F$500,F17,$H$2:$H$500,"Trade estimate"))</f>
        <v>3</v>
      </c>
      <c r="K17" s="11" t="n">
        <f aca="false">IF(OR(J17="",J17=0),"",_xlfn.MAXIFS($E$2:$E$500,$B$2:$B$500,B17,$C$2:$C$500,C17,$F$2:$F$500,F17,$H$2:$H$500,"Trade estimate"))</f>
        <v>9.8</v>
      </c>
      <c r="L17" s="11" t="n">
        <f aca="false">IF(OR(J17="",J17=0),"",_xlfn.MINIFS($E$2:$E$500,$B$2:$B$500,B17,$C$2:$C$500,C17,$F$2:$F$500,F17,$H$2:$H$500,"Trade estimate"))</f>
        <v>9.5</v>
      </c>
      <c r="M17" s="12" t="n">
        <f aca="false">IF(OR(J17="",J17&lt;2),"",IF(L17=0,"",(K17-L17)/L17))</f>
        <v>0.0315789473684211</v>
      </c>
      <c r="N17" s="13" t="str">
        <f aca="false">IF(B17="","",IF(J17&lt;2,"Needs 2+ trade sources",IF(M17&gt;Lists!$E$2,"CHECK","OK")))</f>
        <v>OK</v>
      </c>
      <c r="O17" s="9" t="str">
        <f aca="false">IF(B17="","",IF(J17&lt;2,"Needs 2+ trade sources",IF(M17&lt;=Lists!$E$6,"Good",IF(M17&lt;=Lists!$E$2,"Moderate","Bad"))))</f>
        <v>Good</v>
      </c>
    </row>
    <row r="18" customFormat="false" ht="14.25" hidden="false" customHeight="true" outlineLevel="0" collapsed="false">
      <c r="A18" s="6" t="n">
        <v>46311.875</v>
      </c>
      <c r="B18" s="7" t="s">
        <v>33</v>
      </c>
      <c r="C18" s="8" t="n">
        <v>46309</v>
      </c>
      <c r="D18" s="9" t="n">
        <f aca="false">IF(OR(B18="",C18=""),"",IFERROR(C18-INDEX(Films!$C$2:$C$100,MATCH(B18,Films!$A$2:$A$100,0))+1,""))</f>
        <v>13</v>
      </c>
      <c r="E18" s="10" t="n">
        <v>8.6</v>
      </c>
      <c r="F18" s="7" t="s">
        <v>34</v>
      </c>
      <c r="G18" s="7" t="s">
        <v>35</v>
      </c>
      <c r="H18" s="7" t="s">
        <v>36</v>
      </c>
      <c r="I18" s="7" t="s">
        <v>37</v>
      </c>
      <c r="J18" s="9" t="n">
        <f aca="false">IF(B18="","",COUNTIFS($B$2:$B$500,B18,$C$2:$C$500,C18,$F$2:$F$500,F18,$H$2:$H$500,"Trade estimate"))</f>
        <v>3</v>
      </c>
      <c r="K18" s="11" t="n">
        <f aca="false">IF(OR(J18="",J18=0),"",_xlfn.MAXIFS($E$2:$E$500,$B$2:$B$500,B18,$C$2:$C$500,C18,$F$2:$F$500,F18,$H$2:$H$500,"Trade estimate"))</f>
        <v>8.6</v>
      </c>
      <c r="L18" s="11" t="n">
        <f aca="false">IF(OR(J18="",J18=0),"",_xlfn.MINIFS($E$2:$E$500,$B$2:$B$500,B18,$C$2:$C$500,C18,$F$2:$F$500,F18,$H$2:$H$500,"Trade estimate"))</f>
        <v>8.3</v>
      </c>
      <c r="M18" s="12" t="n">
        <f aca="false">IF(OR(J18="",J18&lt;2),"",IF(L18=0,"",(K18-L18)/L18))</f>
        <v>0.0361445783132529</v>
      </c>
      <c r="N18" s="13" t="str">
        <f aca="false">IF(B18="","",IF(J18&lt;2,"Needs 2+ trade sources",IF(M18&gt;Lists!$E$2,"CHECK","OK")))</f>
        <v>OK</v>
      </c>
      <c r="O18" s="9" t="str">
        <f aca="false">IF(B18="","",IF(J18&lt;2,"Needs 2+ trade sources",IF(M18&lt;=Lists!$E$6,"Good",IF(M18&lt;=Lists!$E$2,"Moderate","Bad"))))</f>
        <v>Good</v>
      </c>
    </row>
    <row r="19" customFormat="false" ht="14.25" hidden="false" customHeight="true" outlineLevel="0" collapsed="false">
      <c r="A19" s="6" t="n">
        <v>46311.875</v>
      </c>
      <c r="B19" s="7" t="s">
        <v>33</v>
      </c>
      <c r="C19" s="8" t="n">
        <v>46309</v>
      </c>
      <c r="D19" s="9" t="n">
        <f aca="false">IF(OR(B19="",C19=""),"",IFERROR(C19-INDEX(Films!$C$2:$C$100,MATCH(B19,Films!$A$2:$A$100,0))+1,""))</f>
        <v>13</v>
      </c>
      <c r="E19" s="10" t="n">
        <v>8.3</v>
      </c>
      <c r="F19" s="7" t="s">
        <v>34</v>
      </c>
      <c r="G19" s="7" t="s">
        <v>38</v>
      </c>
      <c r="H19" s="7" t="s">
        <v>36</v>
      </c>
      <c r="I19" s="7" t="s">
        <v>37</v>
      </c>
      <c r="J19" s="9" t="n">
        <f aca="false">IF(B19="","",COUNTIFS($B$2:$B$500,B19,$C$2:$C$500,C19,$F$2:$F$500,F19,$H$2:$H$500,"Trade estimate"))</f>
        <v>3</v>
      </c>
      <c r="K19" s="11" t="n">
        <f aca="false">IF(OR(J19="",J19=0),"",_xlfn.MAXIFS($E$2:$E$500,$B$2:$B$500,B19,$C$2:$C$500,C19,$F$2:$F$500,F19,$H$2:$H$500,"Trade estimate"))</f>
        <v>8.6</v>
      </c>
      <c r="L19" s="11" t="n">
        <f aca="false">IF(OR(J19="",J19=0),"",_xlfn.MINIFS($E$2:$E$500,$B$2:$B$500,B19,$C$2:$C$500,C19,$F$2:$F$500,F19,$H$2:$H$500,"Trade estimate"))</f>
        <v>8.3</v>
      </c>
      <c r="M19" s="12" t="n">
        <f aca="false">IF(OR(J19="",J19&lt;2),"",IF(L19=0,"",(K19-L19)/L19))</f>
        <v>0.0361445783132529</v>
      </c>
      <c r="N19" s="13" t="str">
        <f aca="false">IF(B19="","",IF(J19&lt;2,"Needs 2+ trade sources",IF(M19&gt;Lists!$E$2,"CHECK","OK")))</f>
        <v>OK</v>
      </c>
      <c r="O19" s="9" t="str">
        <f aca="false">IF(B19="","",IF(J19&lt;2,"Needs 2+ trade sources",IF(M19&lt;=Lists!$E$6,"Good",IF(M19&lt;=Lists!$E$2,"Moderate","Bad"))))</f>
        <v>Good</v>
      </c>
    </row>
    <row r="20" customFormat="false" ht="14.25" hidden="false" customHeight="true" outlineLevel="0" collapsed="false">
      <c r="A20" s="6" t="n">
        <v>46311.875</v>
      </c>
      <c r="B20" s="7" t="s">
        <v>33</v>
      </c>
      <c r="C20" s="8" t="n">
        <v>46309</v>
      </c>
      <c r="D20" s="9" t="n">
        <f aca="false">IF(OR(B20="",C20=""),"",IFERROR(C20-INDEX(Films!$C$2:$C$100,MATCH(B20,Films!$A$2:$A$100,0))+1,""))</f>
        <v>13</v>
      </c>
      <c r="E20" s="10" t="n">
        <v>8.45</v>
      </c>
      <c r="F20" s="7" t="s">
        <v>34</v>
      </c>
      <c r="G20" s="7" t="s">
        <v>39</v>
      </c>
      <c r="H20" s="7" t="s">
        <v>36</v>
      </c>
      <c r="I20" s="7" t="s">
        <v>37</v>
      </c>
      <c r="J20" s="9" t="n">
        <f aca="false">IF(B20="","",COUNTIFS($B$2:$B$500,B20,$C$2:$C$500,C20,$F$2:$F$500,F20,$H$2:$H$500,"Trade estimate"))</f>
        <v>3</v>
      </c>
      <c r="K20" s="11" t="n">
        <f aca="false">IF(OR(J20="",J20=0),"",_xlfn.MAXIFS($E$2:$E$500,$B$2:$B$500,B20,$C$2:$C$500,C20,$F$2:$F$500,F20,$H$2:$H$500,"Trade estimate"))</f>
        <v>8.6</v>
      </c>
      <c r="L20" s="11" t="n">
        <f aca="false">IF(OR(J20="",J20=0),"",_xlfn.MINIFS($E$2:$E$500,$B$2:$B$500,B20,$C$2:$C$500,C20,$F$2:$F$500,F20,$H$2:$H$500,"Trade estimate"))</f>
        <v>8.3</v>
      </c>
      <c r="M20" s="12" t="n">
        <f aca="false">IF(OR(J20="",J20&lt;2),"",IF(L20=0,"",(K20-L20)/L20))</f>
        <v>0.0361445783132529</v>
      </c>
      <c r="N20" s="13" t="str">
        <f aca="false">IF(B20="","",IF(J20&lt;2,"Needs 2+ trade sources",IF(M20&gt;Lists!$E$2,"CHECK","OK")))</f>
        <v>OK</v>
      </c>
      <c r="O20" s="9" t="str">
        <f aca="false">IF(B20="","",IF(J20&lt;2,"Needs 2+ trade sources",IF(M20&lt;=Lists!$E$6,"Good",IF(M20&lt;=Lists!$E$2,"Moderate","Bad"))))</f>
        <v>Good</v>
      </c>
    </row>
    <row r="21" customFormat="false" ht="14.25" hidden="false" customHeight="true" outlineLevel="0" collapsed="false">
      <c r="A21" s="6" t="n">
        <v>46311.875</v>
      </c>
      <c r="B21" s="7" t="s">
        <v>33</v>
      </c>
      <c r="C21" s="8" t="n">
        <v>46309</v>
      </c>
      <c r="D21" s="9" t="n">
        <f aca="false">IF(OR(B21="",C21=""),"",IFERROR(C21-INDEX(Films!$C$2:$C$100,MATCH(B21,Films!$A$2:$A$100,0))+1,""))</f>
        <v>13</v>
      </c>
      <c r="E21" s="10" t="n">
        <v>9.5</v>
      </c>
      <c r="F21" s="7" t="s">
        <v>34</v>
      </c>
      <c r="G21" s="7" t="s">
        <v>40</v>
      </c>
      <c r="H21" s="7" t="s">
        <v>41</v>
      </c>
      <c r="I21" s="7" t="s">
        <v>42</v>
      </c>
      <c r="J21" s="9" t="n">
        <f aca="false">IF(B21="","",COUNTIFS($B$2:$B$500,B21,$C$2:$C$500,C21,$F$2:$F$500,F21,$H$2:$H$500,"Trade estimate"))</f>
        <v>3</v>
      </c>
      <c r="K21" s="11" t="n">
        <f aca="false">IF(OR(J21="",J21=0),"",_xlfn.MAXIFS($E$2:$E$500,$B$2:$B$500,B21,$C$2:$C$500,C21,$F$2:$F$500,F21,$H$2:$H$500,"Trade estimate"))</f>
        <v>8.6</v>
      </c>
      <c r="L21" s="11" t="n">
        <f aca="false">IF(OR(J21="",J21=0),"",_xlfn.MINIFS($E$2:$E$500,$B$2:$B$500,B21,$C$2:$C$500,C21,$F$2:$F$500,F21,$H$2:$H$500,"Trade estimate"))</f>
        <v>8.3</v>
      </c>
      <c r="M21" s="12" t="n">
        <f aca="false">IF(OR(J21="",J21&lt;2),"",IF(L21=0,"",(K21-L21)/L21))</f>
        <v>0.0361445783132529</v>
      </c>
      <c r="N21" s="13" t="str">
        <f aca="false">IF(B21="","",IF(J21&lt;2,"Needs 2+ trade sources",IF(M21&gt;Lists!$E$2,"CHECK","OK")))</f>
        <v>OK</v>
      </c>
      <c r="O21" s="9" t="str">
        <f aca="false">IF(B21="","",IF(J21&lt;2,"Needs 2+ trade sources",IF(M21&lt;=Lists!$E$6,"Good",IF(M21&lt;=Lists!$E$2,"Moderate","Bad"))))</f>
        <v>Good</v>
      </c>
    </row>
    <row r="22" customFormat="false" ht="14.25" hidden="false" customHeight="true" outlineLevel="0" collapsed="false">
      <c r="A22" s="6" t="n">
        <v>46311.875</v>
      </c>
      <c r="B22" s="7" t="s">
        <v>33</v>
      </c>
      <c r="C22" s="8" t="n">
        <v>46310</v>
      </c>
      <c r="D22" s="9" t="n">
        <f aca="false">IF(OR(B22="",C22=""),"",IFERROR(C22-INDEX(Films!$C$2:$C$100,MATCH(B22,Films!$A$2:$A$100,0))+1,""))</f>
        <v>14</v>
      </c>
      <c r="E22" s="10" t="n">
        <v>8.1</v>
      </c>
      <c r="F22" s="7" t="s">
        <v>34</v>
      </c>
      <c r="G22" s="7" t="s">
        <v>35</v>
      </c>
      <c r="H22" s="7" t="s">
        <v>36</v>
      </c>
      <c r="I22" s="7" t="s">
        <v>37</v>
      </c>
      <c r="J22" s="9" t="n">
        <f aca="false">IF(B22="","",COUNTIFS($B$2:$B$500,B22,$C$2:$C$500,C22,$F$2:$F$500,F22,$H$2:$H$500,"Trade estimate"))</f>
        <v>3</v>
      </c>
      <c r="K22" s="11" t="n">
        <f aca="false">IF(OR(J22="",J22=0),"",_xlfn.MAXIFS($E$2:$E$500,$B$2:$B$500,B22,$C$2:$C$500,C22,$F$2:$F$500,F22,$H$2:$H$500,"Trade estimate"))</f>
        <v>8.1</v>
      </c>
      <c r="L22" s="11" t="n">
        <f aca="false">IF(OR(J22="",J22=0),"",_xlfn.MINIFS($E$2:$E$500,$B$2:$B$500,B22,$C$2:$C$500,C22,$F$2:$F$500,F22,$H$2:$H$500,"Trade estimate"))</f>
        <v>7.9</v>
      </c>
      <c r="M22" s="12" t="n">
        <f aca="false">IF(OR(J22="",J22&lt;2),"",IF(L22=0,"",(K22-L22)/L22))</f>
        <v>0.0253164556962024</v>
      </c>
      <c r="N22" s="13" t="str">
        <f aca="false">IF(B22="","",IF(J22&lt;2,"Needs 2+ trade sources",IF(M22&gt;Lists!$E$2,"CHECK","OK")))</f>
        <v>OK</v>
      </c>
      <c r="O22" s="9" t="str">
        <f aca="false">IF(B22="","",IF(J22&lt;2,"Needs 2+ trade sources",IF(M22&lt;=Lists!$E$6,"Good",IF(M22&lt;=Lists!$E$2,"Moderate","Bad"))))</f>
        <v>Good</v>
      </c>
    </row>
    <row r="23" customFormat="false" ht="14.25" hidden="false" customHeight="true" outlineLevel="0" collapsed="false">
      <c r="A23" s="6" t="n">
        <v>46311.875</v>
      </c>
      <c r="B23" s="7" t="s">
        <v>33</v>
      </c>
      <c r="C23" s="8" t="n">
        <v>46310</v>
      </c>
      <c r="D23" s="9" t="n">
        <f aca="false">IF(OR(B23="",C23=""),"",IFERROR(C23-INDEX(Films!$C$2:$C$100,MATCH(B23,Films!$A$2:$A$100,0))+1,""))</f>
        <v>14</v>
      </c>
      <c r="E23" s="10" t="n">
        <v>7.9</v>
      </c>
      <c r="F23" s="7" t="s">
        <v>34</v>
      </c>
      <c r="G23" s="7" t="s">
        <v>38</v>
      </c>
      <c r="H23" s="7" t="s">
        <v>36</v>
      </c>
      <c r="I23" s="7" t="s">
        <v>37</v>
      </c>
      <c r="J23" s="9" t="n">
        <f aca="false">IF(B23="","",COUNTIFS($B$2:$B$500,B23,$C$2:$C$500,C23,$F$2:$F$500,F23,$H$2:$H$500,"Trade estimate"))</f>
        <v>3</v>
      </c>
      <c r="K23" s="11" t="n">
        <f aca="false">IF(OR(J23="",J23=0),"",_xlfn.MAXIFS($E$2:$E$500,$B$2:$B$500,B23,$C$2:$C$500,C23,$F$2:$F$500,F23,$H$2:$H$500,"Trade estimate"))</f>
        <v>8.1</v>
      </c>
      <c r="L23" s="11" t="n">
        <f aca="false">IF(OR(J23="",J23=0),"",_xlfn.MINIFS($E$2:$E$500,$B$2:$B$500,B23,$C$2:$C$500,C23,$F$2:$F$500,F23,$H$2:$H$500,"Trade estimate"))</f>
        <v>7.9</v>
      </c>
      <c r="M23" s="12" t="n">
        <f aca="false">IF(OR(J23="",J23&lt;2),"",IF(L23=0,"",(K23-L23)/L23))</f>
        <v>0.0253164556962024</v>
      </c>
      <c r="N23" s="13" t="str">
        <f aca="false">IF(B23="","",IF(J23&lt;2,"Needs 2+ trade sources",IF(M23&gt;Lists!$E$2,"CHECK","OK")))</f>
        <v>OK</v>
      </c>
      <c r="O23" s="9" t="str">
        <f aca="false">IF(B23="","",IF(J23&lt;2,"Needs 2+ trade sources",IF(M23&lt;=Lists!$E$6,"Good",IF(M23&lt;=Lists!$E$2,"Moderate","Bad"))))</f>
        <v>Good</v>
      </c>
    </row>
    <row r="24" customFormat="false" ht="14.25" hidden="false" customHeight="true" outlineLevel="0" collapsed="false">
      <c r="A24" s="6" t="n">
        <v>46311.875</v>
      </c>
      <c r="B24" s="7" t="s">
        <v>33</v>
      </c>
      <c r="C24" s="8" t="n">
        <v>46310</v>
      </c>
      <c r="D24" s="9" t="n">
        <f aca="false">IF(OR(B24="",C24=""),"",IFERROR(C24-INDEX(Films!$C$2:$C$100,MATCH(B24,Films!$A$2:$A$100,0))+1,""))</f>
        <v>14</v>
      </c>
      <c r="E24" s="10" t="n">
        <v>8</v>
      </c>
      <c r="F24" s="7" t="s">
        <v>34</v>
      </c>
      <c r="G24" s="7" t="s">
        <v>39</v>
      </c>
      <c r="H24" s="7" t="s">
        <v>36</v>
      </c>
      <c r="I24" s="7" t="s">
        <v>37</v>
      </c>
      <c r="J24" s="9" t="n">
        <f aca="false">IF(B24="","",COUNTIFS($B$2:$B$500,B24,$C$2:$C$500,C24,$F$2:$F$500,F24,$H$2:$H$500,"Trade estimate"))</f>
        <v>3</v>
      </c>
      <c r="K24" s="11" t="n">
        <f aca="false">IF(OR(J24="",J24=0),"",_xlfn.MAXIFS($E$2:$E$500,$B$2:$B$500,B24,$C$2:$C$500,C24,$F$2:$F$500,F24,$H$2:$H$500,"Trade estimate"))</f>
        <v>8.1</v>
      </c>
      <c r="L24" s="11" t="n">
        <f aca="false">IF(OR(J24="",J24=0),"",_xlfn.MINIFS($E$2:$E$500,$B$2:$B$500,B24,$C$2:$C$500,C24,$F$2:$F$500,F24,$H$2:$H$500,"Trade estimate"))</f>
        <v>7.9</v>
      </c>
      <c r="M24" s="12" t="n">
        <f aca="false">IF(OR(J24="",J24&lt;2),"",IF(L24=0,"",(K24-L24)/L24))</f>
        <v>0.0253164556962024</v>
      </c>
      <c r="N24" s="13" t="str">
        <f aca="false">IF(B24="","",IF(J24&lt;2,"Needs 2+ trade sources",IF(M24&gt;Lists!$E$2,"CHECK","OK")))</f>
        <v>OK</v>
      </c>
      <c r="O24" s="9" t="str">
        <f aca="false">IF(B24="","",IF(J24&lt;2,"Needs 2+ trade sources",IF(M24&lt;=Lists!$E$6,"Good",IF(M24&lt;=Lists!$E$2,"Moderate","Bad"))))</f>
        <v>Good</v>
      </c>
    </row>
    <row r="25" customFormat="false" ht="14.25" hidden="false" customHeight="true" outlineLevel="0" collapsed="false">
      <c r="A25" s="6" t="n">
        <v>46311.875</v>
      </c>
      <c r="B25" s="7" t="s">
        <v>33</v>
      </c>
      <c r="C25" s="8" t="n">
        <v>46310</v>
      </c>
      <c r="D25" s="9" t="n">
        <f aca="false">IF(OR(B25="",C25=""),"",IFERROR(C25-INDEX(Films!$C$2:$C$100,MATCH(B25,Films!$A$2:$A$100,0))+1,""))</f>
        <v>14</v>
      </c>
      <c r="E25" s="10" t="n">
        <v>9.1</v>
      </c>
      <c r="F25" s="7" t="s">
        <v>34</v>
      </c>
      <c r="G25" s="7" t="s">
        <v>40</v>
      </c>
      <c r="H25" s="7" t="s">
        <v>41</v>
      </c>
      <c r="I25" s="7" t="s">
        <v>42</v>
      </c>
      <c r="J25" s="9" t="n">
        <f aca="false">IF(B25="","",COUNTIFS($B$2:$B$500,B25,$C$2:$C$500,C25,$F$2:$F$500,F25,$H$2:$H$500,"Trade estimate"))</f>
        <v>3</v>
      </c>
      <c r="K25" s="11" t="n">
        <f aca="false">IF(OR(J25="",J25=0),"",_xlfn.MAXIFS($E$2:$E$500,$B$2:$B$500,B25,$C$2:$C$500,C25,$F$2:$F$500,F25,$H$2:$H$500,"Trade estimate"))</f>
        <v>8.1</v>
      </c>
      <c r="L25" s="11" t="n">
        <f aca="false">IF(OR(J25="",J25=0),"",_xlfn.MINIFS($E$2:$E$500,$B$2:$B$500,B25,$C$2:$C$500,C25,$F$2:$F$500,F25,$H$2:$H$500,"Trade estimate"))</f>
        <v>7.9</v>
      </c>
      <c r="M25" s="12" t="n">
        <f aca="false">IF(OR(J25="",J25&lt;2),"",IF(L25=0,"",(K25-L25)/L25))</f>
        <v>0.0253164556962024</v>
      </c>
      <c r="N25" s="13" t="str">
        <f aca="false">IF(B25="","",IF(J25&lt;2,"Needs 2+ trade sources",IF(M25&gt;Lists!$E$2,"CHECK","OK")))</f>
        <v>OK</v>
      </c>
      <c r="O25" s="9" t="str">
        <f aca="false">IF(B25="","",IF(J25&lt;2,"Needs 2+ trade sources",IF(M25&lt;=Lists!$E$6,"Good",IF(M25&lt;=Lists!$E$2,"Moderate","Bad"))))</f>
        <v>Good</v>
      </c>
    </row>
    <row r="26" customFormat="false" ht="14.25" hidden="false" customHeight="true" outlineLevel="0" collapsed="false">
      <c r="A26" s="6" t="n">
        <v>46311.875</v>
      </c>
      <c r="B26" s="7" t="s">
        <v>33</v>
      </c>
      <c r="C26" s="8" t="n">
        <v>46311</v>
      </c>
      <c r="D26" s="9" t="n">
        <f aca="false">IF(OR(B26="",C26=""),"",IFERROR(C26-INDEX(Films!$C$2:$C$100,MATCH(B26,Films!$A$2:$A$100,0))+1,""))</f>
        <v>15</v>
      </c>
      <c r="E26" s="10" t="n">
        <v>7.2</v>
      </c>
      <c r="F26" s="7" t="s">
        <v>34</v>
      </c>
      <c r="G26" s="7" t="s">
        <v>35</v>
      </c>
      <c r="H26" s="7" t="s">
        <v>36</v>
      </c>
      <c r="I26" s="7" t="s">
        <v>37</v>
      </c>
      <c r="J26" s="9" t="n">
        <f aca="false">IF(B26="","",COUNTIFS($B$2:$B$500,B26,$C$2:$C$500,C26,$F$2:$F$500,F26,$H$2:$H$500,"Trade estimate"))</f>
        <v>3</v>
      </c>
      <c r="K26" s="11" t="n">
        <f aca="false">IF(OR(J26="",J26=0),"",_xlfn.MAXIFS($E$2:$E$500,$B$2:$B$500,B26,$C$2:$C$500,C26,$F$2:$F$500,F26,$H$2:$H$500,"Trade estimate"))</f>
        <v>7.2</v>
      </c>
      <c r="L26" s="11" t="n">
        <f aca="false">IF(OR(J26="",J26=0),"",_xlfn.MINIFS($E$2:$E$500,$B$2:$B$500,B26,$C$2:$C$500,C26,$F$2:$F$500,F26,$H$2:$H$500,"Trade estimate"))</f>
        <v>6.8</v>
      </c>
      <c r="M26" s="12" t="n">
        <f aca="false">IF(OR(J26="",J26&lt;2),"",IF(L26=0,"",(K26-L26)/L26))</f>
        <v>0.0588235294117648</v>
      </c>
      <c r="N26" s="13" t="str">
        <f aca="false">IF(B26="","",IF(J26&lt;2,"Needs 2+ trade sources",IF(M26&gt;Lists!$E$2,"CHECK","OK")))</f>
        <v>OK</v>
      </c>
      <c r="O26" s="9" t="str">
        <f aca="false">IF(B26="","",IF(J26&lt;2,"Needs 2+ trade sources",IF(M26&lt;=Lists!$E$6,"Good",IF(M26&lt;=Lists!$E$2,"Moderate","Bad"))))</f>
        <v>Moderate</v>
      </c>
    </row>
    <row r="27" customFormat="false" ht="14.25" hidden="false" customHeight="true" outlineLevel="0" collapsed="false">
      <c r="A27" s="6" t="n">
        <v>46311.875</v>
      </c>
      <c r="B27" s="7" t="s">
        <v>33</v>
      </c>
      <c r="C27" s="8" t="n">
        <v>46311</v>
      </c>
      <c r="D27" s="9" t="n">
        <f aca="false">IF(OR(B27="",C27=""),"",IFERROR(C27-INDEX(Films!$C$2:$C$100,MATCH(B27,Films!$A$2:$A$100,0))+1,""))</f>
        <v>15</v>
      </c>
      <c r="E27" s="10" t="n">
        <v>6.8</v>
      </c>
      <c r="F27" s="7" t="s">
        <v>34</v>
      </c>
      <c r="G27" s="7" t="s">
        <v>38</v>
      </c>
      <c r="H27" s="7" t="s">
        <v>36</v>
      </c>
      <c r="I27" s="7" t="s">
        <v>37</v>
      </c>
      <c r="J27" s="9" t="n">
        <f aca="false">IF(B27="","",COUNTIFS($B$2:$B$500,B27,$C$2:$C$500,C27,$F$2:$F$500,F27,$H$2:$H$500,"Trade estimate"))</f>
        <v>3</v>
      </c>
      <c r="K27" s="11" t="n">
        <f aca="false">IF(OR(J27="",J27=0),"",_xlfn.MAXIFS($E$2:$E$500,$B$2:$B$500,B27,$C$2:$C$500,C27,$F$2:$F$500,F27,$H$2:$H$500,"Trade estimate"))</f>
        <v>7.2</v>
      </c>
      <c r="L27" s="11" t="n">
        <f aca="false">IF(OR(J27="",J27=0),"",_xlfn.MINIFS($E$2:$E$500,$B$2:$B$500,B27,$C$2:$C$500,C27,$F$2:$F$500,F27,$H$2:$H$500,"Trade estimate"))</f>
        <v>6.8</v>
      </c>
      <c r="M27" s="12" t="n">
        <f aca="false">IF(OR(J27="",J27&lt;2),"",IF(L27=0,"",(K27-L27)/L27))</f>
        <v>0.0588235294117648</v>
      </c>
      <c r="N27" s="13" t="str">
        <f aca="false">IF(B27="","",IF(J27&lt;2,"Needs 2+ trade sources",IF(M27&gt;Lists!$E$2,"CHECK","OK")))</f>
        <v>OK</v>
      </c>
      <c r="O27" s="9" t="str">
        <f aca="false">IF(B27="","",IF(J27&lt;2,"Needs 2+ trade sources",IF(M27&lt;=Lists!$E$6,"Good",IF(M27&lt;=Lists!$E$2,"Moderate","Bad"))))</f>
        <v>Moderate</v>
      </c>
    </row>
    <row r="28" customFormat="false" ht="14.25" hidden="false" customHeight="true" outlineLevel="0" collapsed="false">
      <c r="A28" s="6" t="n">
        <v>46311.875</v>
      </c>
      <c r="B28" s="7" t="s">
        <v>33</v>
      </c>
      <c r="C28" s="8" t="n">
        <v>46311</v>
      </c>
      <c r="D28" s="9" t="n">
        <f aca="false">IF(OR(B28="",C28=""),"",IFERROR(C28-INDEX(Films!$C$2:$C$100,MATCH(B28,Films!$A$2:$A$100,0))+1,""))</f>
        <v>15</v>
      </c>
      <c r="E28" s="10" t="n">
        <v>7.05</v>
      </c>
      <c r="F28" s="7" t="s">
        <v>34</v>
      </c>
      <c r="G28" s="7" t="s">
        <v>39</v>
      </c>
      <c r="H28" s="7" t="s">
        <v>36</v>
      </c>
      <c r="I28" s="7" t="s">
        <v>37</v>
      </c>
      <c r="J28" s="9" t="n">
        <f aca="false">IF(B28="","",COUNTIFS($B$2:$B$500,B28,$C$2:$C$500,C28,$F$2:$F$500,F28,$H$2:$H$500,"Trade estimate"))</f>
        <v>3</v>
      </c>
      <c r="K28" s="11" t="n">
        <f aca="false">IF(OR(J28="",J28=0),"",_xlfn.MAXIFS($E$2:$E$500,$B$2:$B$500,B28,$C$2:$C$500,C28,$F$2:$F$500,F28,$H$2:$H$500,"Trade estimate"))</f>
        <v>7.2</v>
      </c>
      <c r="L28" s="11" t="n">
        <f aca="false">IF(OR(J28="",J28=0),"",_xlfn.MINIFS($E$2:$E$500,$B$2:$B$500,B28,$C$2:$C$500,C28,$F$2:$F$500,F28,$H$2:$H$500,"Trade estimate"))</f>
        <v>6.8</v>
      </c>
      <c r="M28" s="12" t="n">
        <f aca="false">IF(OR(J28="",J28&lt;2),"",IF(L28=0,"",(K28-L28)/L28))</f>
        <v>0.0588235294117648</v>
      </c>
      <c r="N28" s="13" t="str">
        <f aca="false">IF(B28="","",IF(J28&lt;2,"Needs 2+ trade sources",IF(M28&gt;Lists!$E$2,"CHECK","OK")))</f>
        <v>OK</v>
      </c>
      <c r="O28" s="9" t="str">
        <f aca="false">IF(B28="","",IF(J28&lt;2,"Needs 2+ trade sources",IF(M28&lt;=Lists!$E$6,"Good",IF(M28&lt;=Lists!$E$2,"Moderate","Bad"))))</f>
        <v>Moderate</v>
      </c>
    </row>
    <row r="29" customFormat="false" ht="14.25" hidden="false" customHeight="true" outlineLevel="0" collapsed="false">
      <c r="A29" s="6" t="n">
        <v>46311.875</v>
      </c>
      <c r="B29" s="7" t="s">
        <v>33</v>
      </c>
      <c r="C29" s="8" t="n">
        <v>46311</v>
      </c>
      <c r="D29" s="9" t="n">
        <f aca="false">IF(OR(B29="",C29=""),"",IFERROR(C29-INDEX(Films!$C$2:$C$100,MATCH(B29,Films!$A$2:$A$100,0))+1,""))</f>
        <v>15</v>
      </c>
      <c r="E29" s="10" t="n">
        <v>8</v>
      </c>
      <c r="F29" s="7" t="s">
        <v>34</v>
      </c>
      <c r="G29" s="7" t="s">
        <v>40</v>
      </c>
      <c r="H29" s="7" t="s">
        <v>41</v>
      </c>
      <c r="I29" s="7" t="s">
        <v>42</v>
      </c>
      <c r="J29" s="9" t="n">
        <f aca="false">IF(B29="","",COUNTIFS($B$2:$B$500,B29,$C$2:$C$500,C29,$F$2:$F$500,F29,$H$2:$H$500,"Trade estimate"))</f>
        <v>3</v>
      </c>
      <c r="K29" s="11" t="n">
        <f aca="false">IF(OR(J29="",J29=0),"",_xlfn.MAXIFS($E$2:$E$500,$B$2:$B$500,B29,$C$2:$C$500,C29,$F$2:$F$500,F29,$H$2:$H$500,"Trade estimate"))</f>
        <v>7.2</v>
      </c>
      <c r="L29" s="11" t="n">
        <f aca="false">IF(OR(J29="",J29=0),"",_xlfn.MINIFS($E$2:$E$500,$B$2:$B$500,B29,$C$2:$C$500,C29,$F$2:$F$500,F29,$H$2:$H$500,"Trade estimate"))</f>
        <v>6.8</v>
      </c>
      <c r="M29" s="12" t="n">
        <f aca="false">IF(OR(J29="",J29&lt;2),"",IF(L29=0,"",(K29-L29)/L29))</f>
        <v>0.0588235294117648</v>
      </c>
      <c r="N29" s="13" t="str">
        <f aca="false">IF(B29="","",IF(J29&lt;2,"Needs 2+ trade sources",IF(M29&gt;Lists!$E$2,"CHECK","OK")))</f>
        <v>OK</v>
      </c>
      <c r="O29" s="9" t="str">
        <f aca="false">IF(B29="","",IF(J29&lt;2,"Needs 2+ trade sources",IF(M29&lt;=Lists!$E$6,"Good",IF(M29&lt;=Lists!$E$2,"Moderate","Bad"))))</f>
        <v>Moderate</v>
      </c>
    </row>
    <row r="30" customFormat="false" ht="14.25" hidden="false" customHeight="true" outlineLevel="0" collapsed="false">
      <c r="A30" s="6" t="n">
        <v>46311.875</v>
      </c>
      <c r="B30" s="7" t="s">
        <v>43</v>
      </c>
      <c r="C30" s="8" t="n">
        <v>46310</v>
      </c>
      <c r="D30" s="9" t="n">
        <f aca="false">IF(OR(B30="",C30=""),"",IFERROR(C30-INDEX(Films!$C$2:$C$100,MATCH(B30,Films!$A$2:$A$100,0))+1,""))</f>
        <v>1</v>
      </c>
      <c r="E30" s="10" t="n">
        <v>38.5</v>
      </c>
      <c r="F30" s="7" t="s">
        <v>34</v>
      </c>
      <c r="G30" s="7" t="s">
        <v>35</v>
      </c>
      <c r="H30" s="7" t="s">
        <v>36</v>
      </c>
      <c r="I30" s="7" t="s">
        <v>37</v>
      </c>
      <c r="J30" s="9" t="n">
        <f aca="false">IF(B30="","",COUNTIFS($B$2:$B$500,B30,$C$2:$C$500,C30,$F$2:$F$500,F30,$H$2:$H$500,"Trade estimate"))</f>
        <v>3</v>
      </c>
      <c r="K30" s="11" t="n">
        <f aca="false">IF(OR(J30="",J30=0),"",_xlfn.MAXIFS($E$2:$E$500,$B$2:$B$500,B30,$C$2:$C$500,C30,$F$2:$F$500,F30,$H$2:$H$500,"Trade estimate"))</f>
        <v>38.5</v>
      </c>
      <c r="L30" s="11" t="n">
        <f aca="false">IF(OR(J30="",J30=0),"",_xlfn.MINIFS($E$2:$E$500,$B$2:$B$500,B30,$C$2:$C$500,C30,$F$2:$F$500,F30,$H$2:$H$500,"Trade estimate"))</f>
        <v>35.8</v>
      </c>
      <c r="M30" s="12" t="n">
        <f aca="false">IF(OR(J30="",J30&lt;2),"",IF(L30=0,"",(K30-L30)/L30))</f>
        <v>0.0754189944134079</v>
      </c>
      <c r="N30" s="13" t="str">
        <f aca="false">IF(B30="","",IF(J30&lt;2,"Needs 2+ trade sources",IF(M30&gt;Lists!$E$2,"CHECK","OK")))</f>
        <v>OK</v>
      </c>
      <c r="O30" s="9" t="str">
        <f aca="false">IF(B30="","",IF(J30&lt;2,"Needs 2+ trade sources",IF(M30&lt;=Lists!$E$6,"Good",IF(M30&lt;=Lists!$E$2,"Moderate","Bad"))))</f>
        <v>Moderate</v>
      </c>
    </row>
    <row r="31" customFormat="false" ht="14.25" hidden="false" customHeight="true" outlineLevel="0" collapsed="false">
      <c r="A31" s="6" t="n">
        <v>46311.875</v>
      </c>
      <c r="B31" s="7" t="s">
        <v>43</v>
      </c>
      <c r="C31" s="8" t="n">
        <v>46310</v>
      </c>
      <c r="D31" s="9" t="n">
        <f aca="false">IF(OR(B31="",C31=""),"",IFERROR(C31-INDEX(Films!$C$2:$C$100,MATCH(B31,Films!$A$2:$A$100,0))+1,""))</f>
        <v>1</v>
      </c>
      <c r="E31" s="10" t="n">
        <v>36.2</v>
      </c>
      <c r="F31" s="7" t="s">
        <v>34</v>
      </c>
      <c r="G31" s="7" t="s">
        <v>38</v>
      </c>
      <c r="H31" s="7" t="s">
        <v>36</v>
      </c>
      <c r="I31" s="7" t="s">
        <v>37</v>
      </c>
      <c r="J31" s="9" t="n">
        <f aca="false">IF(B31="","",COUNTIFS($B$2:$B$500,B31,$C$2:$C$500,C31,$F$2:$F$500,F31,$H$2:$H$500,"Trade estimate"))</f>
        <v>3</v>
      </c>
      <c r="K31" s="11" t="n">
        <f aca="false">IF(OR(J31="",J31=0),"",_xlfn.MAXIFS($E$2:$E$500,$B$2:$B$500,B31,$C$2:$C$500,C31,$F$2:$F$500,F31,$H$2:$H$500,"Trade estimate"))</f>
        <v>38.5</v>
      </c>
      <c r="L31" s="11" t="n">
        <f aca="false">IF(OR(J31="",J31=0),"",_xlfn.MINIFS($E$2:$E$500,$B$2:$B$500,B31,$C$2:$C$500,C31,$F$2:$F$500,F31,$H$2:$H$500,"Trade estimate"))</f>
        <v>35.8</v>
      </c>
      <c r="M31" s="12" t="n">
        <f aca="false">IF(OR(J31="",J31&lt;2),"",IF(L31=0,"",(K31-L31)/L31))</f>
        <v>0.0754189944134079</v>
      </c>
      <c r="N31" s="13" t="str">
        <f aca="false">IF(B31="","",IF(J31&lt;2,"Needs 2+ trade sources",IF(M31&gt;Lists!$E$2,"CHECK","OK")))</f>
        <v>OK</v>
      </c>
      <c r="O31" s="9" t="str">
        <f aca="false">IF(B31="","",IF(J31&lt;2,"Needs 2+ trade sources",IF(M31&lt;=Lists!$E$6,"Good",IF(M31&lt;=Lists!$E$2,"Moderate","Bad"))))</f>
        <v>Moderate</v>
      </c>
    </row>
    <row r="32" customFormat="false" ht="14.25" hidden="false" customHeight="true" outlineLevel="0" collapsed="false">
      <c r="A32" s="6" t="n">
        <v>46311.875</v>
      </c>
      <c r="B32" s="7" t="s">
        <v>43</v>
      </c>
      <c r="C32" s="8" t="n">
        <v>46310</v>
      </c>
      <c r="D32" s="9" t="n">
        <f aca="false">IF(OR(B32="",C32=""),"",IFERROR(C32-INDEX(Films!$C$2:$C$100,MATCH(B32,Films!$A$2:$A$100,0))+1,""))</f>
        <v>1</v>
      </c>
      <c r="E32" s="10" t="n">
        <v>35.8</v>
      </c>
      <c r="F32" s="7" t="s">
        <v>34</v>
      </c>
      <c r="G32" s="7" t="s">
        <v>39</v>
      </c>
      <c r="H32" s="7" t="s">
        <v>36</v>
      </c>
      <c r="I32" s="7" t="s">
        <v>37</v>
      </c>
      <c r="J32" s="9" t="n">
        <f aca="false">IF(B32="","",COUNTIFS($B$2:$B$500,B32,$C$2:$C$500,C32,$F$2:$F$500,F32,$H$2:$H$500,"Trade estimate"))</f>
        <v>3</v>
      </c>
      <c r="K32" s="11" t="n">
        <f aca="false">IF(OR(J32="",J32=0),"",_xlfn.MAXIFS($E$2:$E$500,$B$2:$B$500,B32,$C$2:$C$500,C32,$F$2:$F$500,F32,$H$2:$H$500,"Trade estimate"))</f>
        <v>38.5</v>
      </c>
      <c r="L32" s="11" t="n">
        <f aca="false">IF(OR(J32="",J32=0),"",_xlfn.MINIFS($E$2:$E$500,$B$2:$B$500,B32,$C$2:$C$500,C32,$F$2:$F$500,F32,$H$2:$H$500,"Trade estimate"))</f>
        <v>35.8</v>
      </c>
      <c r="M32" s="12" t="n">
        <f aca="false">IF(OR(J32="",J32&lt;2),"",IF(L32=0,"",(K32-L32)/L32))</f>
        <v>0.0754189944134079</v>
      </c>
      <c r="N32" s="13" t="str">
        <f aca="false">IF(B32="","",IF(J32&lt;2,"Needs 2+ trade sources",IF(M32&gt;Lists!$E$2,"CHECK","OK")))</f>
        <v>OK</v>
      </c>
      <c r="O32" s="9" t="str">
        <f aca="false">IF(B32="","",IF(J32&lt;2,"Needs 2+ trade sources",IF(M32&lt;=Lists!$E$6,"Good",IF(M32&lt;=Lists!$E$2,"Moderate","Bad"))))</f>
        <v>Moderate</v>
      </c>
    </row>
    <row r="33" customFormat="false" ht="14.25" hidden="false" customHeight="true" outlineLevel="0" collapsed="false">
      <c r="A33" s="6" t="n">
        <v>46311.875</v>
      </c>
      <c r="B33" s="7" t="s">
        <v>43</v>
      </c>
      <c r="C33" s="8" t="n">
        <v>46310</v>
      </c>
      <c r="D33" s="9" t="n">
        <f aca="false">IF(OR(B33="",C33=""),"",IFERROR(C33-INDEX(Films!$C$2:$C$100,MATCH(B33,Films!$A$2:$A$100,0))+1,""))</f>
        <v>1</v>
      </c>
      <c r="E33" s="10" t="n">
        <v>45</v>
      </c>
      <c r="F33" s="7" t="s">
        <v>34</v>
      </c>
      <c r="G33" s="7" t="s">
        <v>40</v>
      </c>
      <c r="H33" s="7" t="s">
        <v>41</v>
      </c>
      <c r="I33" s="7" t="s">
        <v>42</v>
      </c>
      <c r="J33" s="9" t="n">
        <f aca="false">IF(B33="","",COUNTIFS($B$2:$B$500,B33,$C$2:$C$500,C33,$F$2:$F$500,F33,$H$2:$H$500,"Trade estimate"))</f>
        <v>3</v>
      </c>
      <c r="K33" s="11" t="n">
        <f aca="false">IF(OR(J33="",J33=0),"",_xlfn.MAXIFS($E$2:$E$500,$B$2:$B$500,B33,$C$2:$C$500,C33,$F$2:$F$500,F33,$H$2:$H$500,"Trade estimate"))</f>
        <v>38.5</v>
      </c>
      <c r="L33" s="11" t="n">
        <f aca="false">IF(OR(J33="",J33=0),"",_xlfn.MINIFS($E$2:$E$500,$B$2:$B$500,B33,$C$2:$C$500,C33,$F$2:$F$500,F33,$H$2:$H$500,"Trade estimate"))</f>
        <v>35.8</v>
      </c>
      <c r="M33" s="12" t="n">
        <f aca="false">IF(OR(J33="",J33&lt;2),"",IF(L33=0,"",(K33-L33)/L33))</f>
        <v>0.0754189944134079</v>
      </c>
      <c r="N33" s="13" t="str">
        <f aca="false">IF(B33="","",IF(J33&lt;2,"Needs 2+ trade sources",IF(M33&gt;Lists!$E$2,"CHECK","OK")))</f>
        <v>OK</v>
      </c>
      <c r="O33" s="9" t="str">
        <f aca="false">IF(B33="","",IF(J33&lt;2,"Needs 2+ trade sources",IF(M33&lt;=Lists!$E$6,"Good",IF(M33&lt;=Lists!$E$2,"Moderate","Bad"))))</f>
        <v>Moderate</v>
      </c>
    </row>
    <row r="34" customFormat="false" ht="14.25" hidden="false" customHeight="true" outlineLevel="0" collapsed="false">
      <c r="A34" s="6" t="n">
        <v>46311.875</v>
      </c>
      <c r="B34" s="7" t="s">
        <v>43</v>
      </c>
      <c r="C34" s="8" t="n">
        <v>46311</v>
      </c>
      <c r="D34" s="9" t="n">
        <f aca="false">IF(OR(B34="",C34=""),"",IFERROR(C34-INDEX(Films!$C$2:$C$100,MATCH(B34,Films!$A$2:$A$100,0))+1,""))</f>
        <v>2</v>
      </c>
      <c r="E34" s="10" t="n">
        <v>21.2</v>
      </c>
      <c r="F34" s="7" t="s">
        <v>34</v>
      </c>
      <c r="G34" s="7" t="s">
        <v>35</v>
      </c>
      <c r="H34" s="7" t="s">
        <v>36</v>
      </c>
      <c r="I34" s="7" t="s">
        <v>37</v>
      </c>
      <c r="J34" s="9" t="n">
        <f aca="false">IF(B34="","",COUNTIFS($B$2:$B$500,B34,$C$2:$C$500,C34,$F$2:$F$500,F34,$H$2:$H$500,"Trade estimate"))</f>
        <v>3</v>
      </c>
      <c r="K34" s="11" t="n">
        <f aca="false">IF(OR(J34="",J34=0),"",_xlfn.MAXIFS($E$2:$E$500,$B$2:$B$500,B34,$C$2:$C$500,C34,$F$2:$F$500,F34,$H$2:$H$500,"Trade estimate"))</f>
        <v>21.2</v>
      </c>
      <c r="L34" s="11" t="n">
        <f aca="false">IF(OR(J34="",J34=0),"",_xlfn.MINIFS($E$2:$E$500,$B$2:$B$500,B34,$C$2:$C$500,C34,$F$2:$F$500,F34,$H$2:$H$500,"Trade estimate"))</f>
        <v>19.9</v>
      </c>
      <c r="M34" s="12" t="n">
        <f aca="false">IF(OR(J34="",J34&lt;2),"",IF(L34=0,"",(K34-L34)/L34))</f>
        <v>0.0653266331658292</v>
      </c>
      <c r="N34" s="13" t="str">
        <f aca="false">IF(B34="","",IF(J34&lt;2,"Needs 2+ trade sources",IF(M34&gt;Lists!$E$2,"CHECK","OK")))</f>
        <v>OK</v>
      </c>
      <c r="O34" s="9" t="str">
        <f aca="false">IF(B34="","",IF(J34&lt;2,"Needs 2+ trade sources",IF(M34&lt;=Lists!$E$6,"Good",IF(M34&lt;=Lists!$E$2,"Moderate","Bad"))))</f>
        <v>Moderate</v>
      </c>
    </row>
    <row r="35" customFormat="false" ht="14.25" hidden="false" customHeight="true" outlineLevel="0" collapsed="false">
      <c r="A35" s="6" t="n">
        <v>46311.875</v>
      </c>
      <c r="B35" s="7" t="s">
        <v>43</v>
      </c>
      <c r="C35" s="8" t="n">
        <v>46311</v>
      </c>
      <c r="D35" s="9" t="n">
        <f aca="false">IF(OR(B35="",C35=""),"",IFERROR(C35-INDEX(Films!$C$2:$C$100,MATCH(B35,Films!$A$2:$A$100,0))+1,""))</f>
        <v>2</v>
      </c>
      <c r="E35" s="10" t="n">
        <v>20.1</v>
      </c>
      <c r="F35" s="7" t="s">
        <v>34</v>
      </c>
      <c r="G35" s="7" t="s">
        <v>38</v>
      </c>
      <c r="H35" s="7" t="s">
        <v>36</v>
      </c>
      <c r="I35" s="7" t="s">
        <v>37</v>
      </c>
      <c r="J35" s="9" t="n">
        <f aca="false">IF(B35="","",COUNTIFS($B$2:$B$500,B35,$C$2:$C$500,C35,$F$2:$F$500,F35,$H$2:$H$500,"Trade estimate"))</f>
        <v>3</v>
      </c>
      <c r="K35" s="11" t="n">
        <f aca="false">IF(OR(J35="",J35=0),"",_xlfn.MAXIFS($E$2:$E$500,$B$2:$B$500,B35,$C$2:$C$500,C35,$F$2:$F$500,F35,$H$2:$H$500,"Trade estimate"))</f>
        <v>21.2</v>
      </c>
      <c r="L35" s="11" t="n">
        <f aca="false">IF(OR(J35="",J35=0),"",_xlfn.MINIFS($E$2:$E$500,$B$2:$B$500,B35,$C$2:$C$500,C35,$F$2:$F$500,F35,$H$2:$H$500,"Trade estimate"))</f>
        <v>19.9</v>
      </c>
      <c r="M35" s="12" t="n">
        <f aca="false">IF(OR(J35="",J35&lt;2),"",IF(L35=0,"",(K35-L35)/L35))</f>
        <v>0.0653266331658292</v>
      </c>
      <c r="N35" s="13" t="str">
        <f aca="false">IF(B35="","",IF(J35&lt;2,"Needs 2+ trade sources",IF(M35&gt;Lists!$E$2,"CHECK","OK")))</f>
        <v>OK</v>
      </c>
      <c r="O35" s="9" t="str">
        <f aca="false">IF(B35="","",IF(J35&lt;2,"Needs 2+ trade sources",IF(M35&lt;=Lists!$E$6,"Good",IF(M35&lt;=Lists!$E$2,"Moderate","Bad"))))</f>
        <v>Moderate</v>
      </c>
    </row>
    <row r="36" customFormat="false" ht="14.25" hidden="false" customHeight="true" outlineLevel="0" collapsed="false">
      <c r="A36" s="6" t="n">
        <v>46311.875</v>
      </c>
      <c r="B36" s="7" t="s">
        <v>43</v>
      </c>
      <c r="C36" s="8" t="n">
        <v>46311</v>
      </c>
      <c r="D36" s="9" t="n">
        <f aca="false">IF(OR(B36="",C36=""),"",IFERROR(C36-INDEX(Films!$C$2:$C$100,MATCH(B36,Films!$A$2:$A$100,0))+1,""))</f>
        <v>2</v>
      </c>
      <c r="E36" s="10" t="n">
        <v>19.9</v>
      </c>
      <c r="F36" s="7" t="s">
        <v>34</v>
      </c>
      <c r="G36" s="7" t="s">
        <v>39</v>
      </c>
      <c r="H36" s="7" t="s">
        <v>36</v>
      </c>
      <c r="I36" s="7" t="s">
        <v>37</v>
      </c>
      <c r="J36" s="9" t="n">
        <f aca="false">IF(B36="","",COUNTIFS($B$2:$B$500,B36,$C$2:$C$500,C36,$F$2:$F$500,F36,$H$2:$H$500,"Trade estimate"))</f>
        <v>3</v>
      </c>
      <c r="K36" s="11" t="n">
        <f aca="false">IF(OR(J36="",J36=0),"",_xlfn.MAXIFS($E$2:$E$500,$B$2:$B$500,B36,$C$2:$C$500,C36,$F$2:$F$500,F36,$H$2:$H$500,"Trade estimate"))</f>
        <v>21.2</v>
      </c>
      <c r="L36" s="11" t="n">
        <f aca="false">IF(OR(J36="",J36=0),"",_xlfn.MINIFS($E$2:$E$500,$B$2:$B$500,B36,$C$2:$C$500,C36,$F$2:$F$500,F36,$H$2:$H$500,"Trade estimate"))</f>
        <v>19.9</v>
      </c>
      <c r="M36" s="12" t="n">
        <f aca="false">IF(OR(J36="",J36&lt;2),"",IF(L36=0,"",(K36-L36)/L36))</f>
        <v>0.0653266331658292</v>
      </c>
      <c r="N36" s="13" t="str">
        <f aca="false">IF(B36="","",IF(J36&lt;2,"Needs 2+ trade sources",IF(M36&gt;Lists!$E$2,"CHECK","OK")))</f>
        <v>OK</v>
      </c>
      <c r="O36" s="9" t="str">
        <f aca="false">IF(B36="","",IF(J36&lt;2,"Needs 2+ trade sources",IF(M36&lt;=Lists!$E$6,"Good",IF(M36&lt;=Lists!$E$2,"Moderate","Bad"))))</f>
        <v>Moderate</v>
      </c>
    </row>
    <row r="37" customFormat="false" ht="14.25" hidden="false" customHeight="true" outlineLevel="0" collapsed="false">
      <c r="A37" s="6" t="n">
        <v>46311.875</v>
      </c>
      <c r="B37" s="7" t="s">
        <v>43</v>
      </c>
      <c r="C37" s="8" t="n">
        <v>46311</v>
      </c>
      <c r="D37" s="9" t="n">
        <f aca="false">IF(OR(B37="",C37=""),"",IFERROR(C37-INDEX(Films!$C$2:$C$100,MATCH(B37,Films!$A$2:$A$100,0))+1,""))</f>
        <v>2</v>
      </c>
      <c r="E37" s="10" t="n">
        <v>25.5</v>
      </c>
      <c r="F37" s="7" t="s">
        <v>34</v>
      </c>
      <c r="G37" s="7" t="s">
        <v>40</v>
      </c>
      <c r="H37" s="7" t="s">
        <v>41</v>
      </c>
      <c r="I37" s="7" t="s">
        <v>42</v>
      </c>
      <c r="J37" s="9" t="n">
        <f aca="false">IF(B37="","",COUNTIFS($B$2:$B$500,B37,$C$2:$C$500,C37,$F$2:$F$500,F37,$H$2:$H$500,"Trade estimate"))</f>
        <v>3</v>
      </c>
      <c r="K37" s="11" t="n">
        <f aca="false">IF(OR(J37="",J37=0),"",_xlfn.MAXIFS($E$2:$E$500,$B$2:$B$500,B37,$C$2:$C$500,C37,$F$2:$F$500,F37,$H$2:$H$500,"Trade estimate"))</f>
        <v>21.2</v>
      </c>
      <c r="L37" s="11" t="n">
        <f aca="false">IF(OR(J37="",J37=0),"",_xlfn.MINIFS($E$2:$E$500,$B$2:$B$500,B37,$C$2:$C$500,C37,$F$2:$F$500,F37,$H$2:$H$500,"Trade estimate"))</f>
        <v>19.9</v>
      </c>
      <c r="M37" s="12" t="n">
        <f aca="false">IF(OR(J37="",J37&lt;2),"",IF(L37=0,"",(K37-L37)/L37))</f>
        <v>0.0653266331658292</v>
      </c>
      <c r="N37" s="13" t="str">
        <f aca="false">IF(B37="","",IF(J37&lt;2,"Needs 2+ trade sources",IF(M37&gt;Lists!$E$2,"CHECK","OK")))</f>
        <v>OK</v>
      </c>
      <c r="O37" s="9" t="str">
        <f aca="false">IF(B37="","",IF(J37&lt;2,"Needs 2+ trade sources",IF(M37&lt;=Lists!$E$6,"Good",IF(M37&lt;=Lists!$E$2,"Moderate","Bad"))))</f>
        <v>Moderate</v>
      </c>
    </row>
    <row r="38" customFormat="false" ht="14.25" hidden="false" customHeight="true" outlineLevel="0" collapsed="false">
      <c r="A38" s="6" t="n">
        <v>46311.875</v>
      </c>
      <c r="B38" s="7" t="s">
        <v>44</v>
      </c>
      <c r="C38" s="8" t="n">
        <v>46305</v>
      </c>
      <c r="D38" s="9" t="n">
        <f aca="false">IF(OR(B38="",C38=""),"",IFERROR(C38-INDEX(Films!$C$2:$C$100,MATCH(B38,Films!$A$2:$A$100,0))+1,""))</f>
        <v>2</v>
      </c>
      <c r="E38" s="10" t="n">
        <v>3</v>
      </c>
      <c r="F38" s="7" t="s">
        <v>34</v>
      </c>
      <c r="G38" s="7" t="s">
        <v>35</v>
      </c>
      <c r="H38" s="7" t="s">
        <v>36</v>
      </c>
      <c r="I38" s="7" t="s">
        <v>37</v>
      </c>
      <c r="J38" s="9" t="n">
        <f aca="false">IF(B38="","",COUNTIFS($B$2:$B$500,B38,$C$2:$C$500,C38,$F$2:$F$500,F38,$H$2:$H$500,"Trade estimate"))</f>
        <v>2</v>
      </c>
      <c r="K38" s="11" t="n">
        <f aca="false">IF(OR(J38="",J38=0),"",_xlfn.MAXIFS($E$2:$E$500,$B$2:$B$500,B38,$C$2:$C$500,C38,$F$2:$F$500,F38,$H$2:$H$500,"Trade estimate"))</f>
        <v>3</v>
      </c>
      <c r="L38" s="11" t="n">
        <f aca="false">IF(OR(J38="",J38=0),"",_xlfn.MINIFS($E$2:$E$500,$B$2:$B$500,B38,$C$2:$C$500,C38,$F$2:$F$500,F38,$H$2:$H$500,"Trade estimate"))</f>
        <v>2.85</v>
      </c>
      <c r="M38" s="12" t="n">
        <f aca="false">IF(OR(J38="",J38&lt;2),"",IF(L38=0,"",(K38-L38)/L38))</f>
        <v>0.0526315789473684</v>
      </c>
      <c r="N38" s="13" t="str">
        <f aca="false">IF(B38="","",IF(J38&lt;2,"Needs 2+ trade sources",IF(M38&gt;Lists!$E$2,"CHECK","OK")))</f>
        <v>OK</v>
      </c>
      <c r="O38" s="9" t="str">
        <f aca="false">IF(B38="","",IF(J38&lt;2,"Needs 2+ trade sources",IF(M38&lt;=Lists!$E$6,"Good",IF(M38&lt;=Lists!$E$2,"Moderate","Bad"))))</f>
        <v>Moderate</v>
      </c>
    </row>
    <row r="39" customFormat="false" ht="14.25" hidden="false" customHeight="true" outlineLevel="0" collapsed="false">
      <c r="A39" s="6" t="n">
        <v>46311.875</v>
      </c>
      <c r="B39" s="7" t="s">
        <v>44</v>
      </c>
      <c r="C39" s="8" t="n">
        <v>46305</v>
      </c>
      <c r="D39" s="9" t="n">
        <f aca="false">IF(OR(B39="",C39=""),"",IFERROR(C39-INDEX(Films!$C$2:$C$100,MATCH(B39,Films!$A$2:$A$100,0))+1,""))</f>
        <v>2</v>
      </c>
      <c r="E39" s="10" t="n">
        <v>2.85</v>
      </c>
      <c r="F39" s="7" t="s">
        <v>34</v>
      </c>
      <c r="G39" s="7" t="s">
        <v>39</v>
      </c>
      <c r="H39" s="7" t="s">
        <v>36</v>
      </c>
      <c r="I39" s="7" t="s">
        <v>37</v>
      </c>
      <c r="J39" s="9" t="n">
        <f aca="false">IF(B39="","",COUNTIFS($B$2:$B$500,B39,$C$2:$C$500,C39,$F$2:$F$500,F39,$H$2:$H$500,"Trade estimate"))</f>
        <v>2</v>
      </c>
      <c r="K39" s="11" t="n">
        <f aca="false">IF(OR(J39="",J39=0),"",_xlfn.MAXIFS($E$2:$E$500,$B$2:$B$500,B39,$C$2:$C$500,C39,$F$2:$F$500,F39,$H$2:$H$500,"Trade estimate"))</f>
        <v>3</v>
      </c>
      <c r="L39" s="11" t="n">
        <f aca="false">IF(OR(J39="",J39=0),"",_xlfn.MINIFS($E$2:$E$500,$B$2:$B$500,B39,$C$2:$C$500,C39,$F$2:$F$500,F39,$H$2:$H$500,"Trade estimate"))</f>
        <v>2.85</v>
      </c>
      <c r="M39" s="12" t="n">
        <f aca="false">IF(OR(J39="",J39&lt;2),"",IF(L39=0,"",(K39-L39)/L39))</f>
        <v>0.0526315789473684</v>
      </c>
      <c r="N39" s="13" t="str">
        <f aca="false">IF(B39="","",IF(J39&lt;2,"Needs 2+ trade sources",IF(M39&gt;Lists!$E$2,"CHECK","OK")))</f>
        <v>OK</v>
      </c>
      <c r="O39" s="9" t="str">
        <f aca="false">IF(B39="","",IF(J39&lt;2,"Needs 2+ trade sources",IF(M39&lt;=Lists!$E$6,"Good",IF(M39&lt;=Lists!$E$2,"Moderate","Bad"))))</f>
        <v>Moderate</v>
      </c>
    </row>
    <row r="40" customFormat="false" ht="14.25" hidden="false" customHeight="true" outlineLevel="0" collapsed="false">
      <c r="A40" s="6" t="n">
        <v>46311.875</v>
      </c>
      <c r="B40" s="7" t="s">
        <v>44</v>
      </c>
      <c r="C40" s="8" t="n">
        <v>46305</v>
      </c>
      <c r="D40" s="9" t="n">
        <f aca="false">IF(OR(B40="",C40=""),"",IFERROR(C40-INDEX(Films!$C$2:$C$100,MATCH(B40,Films!$A$2:$A$100,0))+1,""))</f>
        <v>2</v>
      </c>
      <c r="E40" s="10" t="n">
        <v>3.4</v>
      </c>
      <c r="F40" s="7" t="s">
        <v>34</v>
      </c>
      <c r="G40" s="7" t="s">
        <v>40</v>
      </c>
      <c r="H40" s="7" t="s">
        <v>41</v>
      </c>
      <c r="I40" s="7" t="s">
        <v>42</v>
      </c>
      <c r="J40" s="9" t="n">
        <f aca="false">IF(B40="","",COUNTIFS($B$2:$B$500,B40,$C$2:$C$500,C40,$F$2:$F$500,F40,$H$2:$H$500,"Trade estimate"))</f>
        <v>2</v>
      </c>
      <c r="K40" s="11" t="n">
        <f aca="false">IF(OR(J40="",J40=0),"",_xlfn.MAXIFS($E$2:$E$500,$B$2:$B$500,B40,$C$2:$C$500,C40,$F$2:$F$500,F40,$H$2:$H$500,"Trade estimate"))</f>
        <v>3</v>
      </c>
      <c r="L40" s="11" t="n">
        <f aca="false">IF(OR(J40="",J40=0),"",_xlfn.MINIFS($E$2:$E$500,$B$2:$B$500,B40,$C$2:$C$500,C40,$F$2:$F$500,F40,$H$2:$H$500,"Trade estimate"))</f>
        <v>2.85</v>
      </c>
      <c r="M40" s="12" t="n">
        <f aca="false">IF(OR(J40="",J40&lt;2),"",IF(L40=0,"",(K40-L40)/L40))</f>
        <v>0.0526315789473684</v>
      </c>
      <c r="N40" s="13" t="str">
        <f aca="false">IF(B40="","",IF(J40&lt;2,"Needs 2+ trade sources",IF(M40&gt;Lists!$E$2,"CHECK","OK")))</f>
        <v>OK</v>
      </c>
      <c r="O40" s="9" t="str">
        <f aca="false">IF(B40="","",IF(J40&lt;2,"Needs 2+ trade sources",IF(M40&lt;=Lists!$E$6,"Good",IF(M40&lt;=Lists!$E$2,"Moderate","Bad"))))</f>
        <v>Moderate</v>
      </c>
    </row>
    <row r="41" customFormat="false" ht="14.25" hidden="false" customHeight="true" outlineLevel="0" collapsed="false">
      <c r="A41" s="6" t="n">
        <v>46311.875</v>
      </c>
      <c r="B41" s="7" t="s">
        <v>44</v>
      </c>
      <c r="C41" s="8" t="n">
        <v>46306</v>
      </c>
      <c r="D41" s="9" t="n">
        <f aca="false">IF(OR(B41="",C41=""),"",IFERROR(C41-INDEX(Films!$C$2:$C$100,MATCH(B41,Films!$A$2:$A$100,0))+1,""))</f>
        <v>3</v>
      </c>
      <c r="E41" s="10" t="n">
        <v>3.05</v>
      </c>
      <c r="F41" s="7" t="s">
        <v>34</v>
      </c>
      <c r="G41" s="7" t="s">
        <v>35</v>
      </c>
      <c r="H41" s="7" t="s">
        <v>36</v>
      </c>
      <c r="I41" s="7" t="s">
        <v>37</v>
      </c>
      <c r="J41" s="9" t="n">
        <f aca="false">IF(B41="","",COUNTIFS($B$2:$B$500,B41,$C$2:$C$500,C41,$F$2:$F$500,F41,$H$2:$H$500,"Trade estimate"))</f>
        <v>2</v>
      </c>
      <c r="K41" s="11" t="n">
        <f aca="false">IF(OR(J41="",J41=0),"",_xlfn.MAXIFS($E$2:$E$500,$B$2:$B$500,B41,$C$2:$C$500,C41,$F$2:$F$500,F41,$H$2:$H$500,"Trade estimate"))</f>
        <v>3.05</v>
      </c>
      <c r="L41" s="11" t="n">
        <f aca="false">IF(OR(J41="",J41=0),"",_xlfn.MINIFS($E$2:$E$500,$B$2:$B$500,B41,$C$2:$C$500,C41,$F$2:$F$500,F41,$H$2:$H$500,"Trade estimate"))</f>
        <v>2.9</v>
      </c>
      <c r="M41" s="12" t="n">
        <f aca="false">IF(OR(J41="",J41&lt;2),"",IF(L41=0,"",(K41-L41)/L41))</f>
        <v>0.0517241379310345</v>
      </c>
      <c r="N41" s="13" t="str">
        <f aca="false">IF(B41="","",IF(J41&lt;2,"Needs 2+ trade sources",IF(M41&gt;Lists!$E$2,"CHECK","OK")))</f>
        <v>OK</v>
      </c>
      <c r="O41" s="9" t="str">
        <f aca="false">IF(B41="","",IF(J41&lt;2,"Needs 2+ trade sources",IF(M41&lt;=Lists!$E$6,"Good",IF(M41&lt;=Lists!$E$2,"Moderate","Bad"))))</f>
        <v>Moderate</v>
      </c>
    </row>
    <row r="42" customFormat="false" ht="14.25" hidden="false" customHeight="true" outlineLevel="0" collapsed="false">
      <c r="A42" s="6" t="n">
        <v>46311.875</v>
      </c>
      <c r="B42" s="7" t="s">
        <v>44</v>
      </c>
      <c r="C42" s="8" t="n">
        <v>46306</v>
      </c>
      <c r="D42" s="9" t="n">
        <f aca="false">IF(OR(B42="",C42=""),"",IFERROR(C42-INDEX(Films!$C$2:$C$100,MATCH(B42,Films!$A$2:$A$100,0))+1,""))</f>
        <v>3</v>
      </c>
      <c r="E42" s="10" t="n">
        <v>2.9</v>
      </c>
      <c r="F42" s="7" t="s">
        <v>34</v>
      </c>
      <c r="G42" s="7" t="s">
        <v>39</v>
      </c>
      <c r="H42" s="7" t="s">
        <v>36</v>
      </c>
      <c r="I42" s="7" t="s">
        <v>37</v>
      </c>
      <c r="J42" s="9" t="n">
        <f aca="false">IF(B42="","",COUNTIFS($B$2:$B$500,B42,$C$2:$C$500,C42,$F$2:$F$500,F42,$H$2:$H$500,"Trade estimate"))</f>
        <v>2</v>
      </c>
      <c r="K42" s="11" t="n">
        <f aca="false">IF(OR(J42="",J42=0),"",_xlfn.MAXIFS($E$2:$E$500,$B$2:$B$500,B42,$C$2:$C$500,C42,$F$2:$F$500,F42,$H$2:$H$500,"Trade estimate"))</f>
        <v>3.05</v>
      </c>
      <c r="L42" s="11" t="n">
        <f aca="false">IF(OR(J42="",J42=0),"",_xlfn.MINIFS($E$2:$E$500,$B$2:$B$500,B42,$C$2:$C$500,C42,$F$2:$F$500,F42,$H$2:$H$500,"Trade estimate"))</f>
        <v>2.9</v>
      </c>
      <c r="M42" s="12" t="n">
        <f aca="false">IF(OR(J42="",J42&lt;2),"",IF(L42=0,"",(K42-L42)/L42))</f>
        <v>0.0517241379310345</v>
      </c>
      <c r="N42" s="13" t="str">
        <f aca="false">IF(B42="","",IF(J42&lt;2,"Needs 2+ trade sources",IF(M42&gt;Lists!$E$2,"CHECK","OK")))</f>
        <v>OK</v>
      </c>
      <c r="O42" s="9" t="str">
        <f aca="false">IF(B42="","",IF(J42&lt;2,"Needs 2+ trade sources",IF(M42&lt;=Lists!$E$6,"Good",IF(M42&lt;=Lists!$E$2,"Moderate","Bad"))))</f>
        <v>Moderate</v>
      </c>
    </row>
    <row r="43" customFormat="false" ht="14.25" hidden="false" customHeight="true" outlineLevel="0" collapsed="false">
      <c r="A43" s="6" t="n">
        <v>46311.875</v>
      </c>
      <c r="B43" s="7" t="s">
        <v>44</v>
      </c>
      <c r="C43" s="8" t="n">
        <v>46306</v>
      </c>
      <c r="D43" s="9" t="n">
        <f aca="false">IF(OR(B43="",C43=""),"",IFERROR(C43-INDEX(Films!$C$2:$C$100,MATCH(B43,Films!$A$2:$A$100,0))+1,""))</f>
        <v>3</v>
      </c>
      <c r="E43" s="10" t="n">
        <v>3.5</v>
      </c>
      <c r="F43" s="7" t="s">
        <v>34</v>
      </c>
      <c r="G43" s="7" t="s">
        <v>40</v>
      </c>
      <c r="H43" s="7" t="s">
        <v>41</v>
      </c>
      <c r="I43" s="7" t="s">
        <v>42</v>
      </c>
      <c r="J43" s="9" t="n">
        <f aca="false">IF(B43="","",COUNTIFS($B$2:$B$500,B43,$C$2:$C$500,C43,$F$2:$F$500,F43,$H$2:$H$500,"Trade estimate"))</f>
        <v>2</v>
      </c>
      <c r="K43" s="11" t="n">
        <f aca="false">IF(OR(J43="",J43=0),"",_xlfn.MAXIFS($E$2:$E$500,$B$2:$B$500,B43,$C$2:$C$500,C43,$F$2:$F$500,F43,$H$2:$H$500,"Trade estimate"))</f>
        <v>3.05</v>
      </c>
      <c r="L43" s="11" t="n">
        <f aca="false">IF(OR(J43="",J43=0),"",_xlfn.MINIFS($E$2:$E$500,$B$2:$B$500,B43,$C$2:$C$500,C43,$F$2:$F$500,F43,$H$2:$H$500,"Trade estimate"))</f>
        <v>2.9</v>
      </c>
      <c r="M43" s="12" t="n">
        <f aca="false">IF(OR(J43="",J43&lt;2),"",IF(L43=0,"",(K43-L43)/L43))</f>
        <v>0.0517241379310345</v>
      </c>
      <c r="N43" s="13" t="str">
        <f aca="false">IF(B43="","",IF(J43&lt;2,"Needs 2+ trade sources",IF(M43&gt;Lists!$E$2,"CHECK","OK")))</f>
        <v>OK</v>
      </c>
      <c r="O43" s="9" t="str">
        <f aca="false">IF(B43="","",IF(J43&lt;2,"Needs 2+ trade sources",IF(M43&lt;=Lists!$E$6,"Good",IF(M43&lt;=Lists!$E$2,"Moderate","Bad"))))</f>
        <v>Moderate</v>
      </c>
    </row>
    <row r="44" customFormat="false" ht="14.25" hidden="false" customHeight="true" outlineLevel="0" collapsed="false">
      <c r="A44" s="6" t="n">
        <v>46311.875</v>
      </c>
      <c r="B44" s="7" t="s">
        <v>44</v>
      </c>
      <c r="C44" s="8" t="n">
        <v>46307</v>
      </c>
      <c r="D44" s="9" t="n">
        <f aca="false">IF(OR(B44="",C44=""),"",IFERROR(C44-INDEX(Films!$C$2:$C$100,MATCH(B44,Films!$A$2:$A$100,0))+1,""))</f>
        <v>4</v>
      </c>
      <c r="E44" s="10" t="n">
        <v>1.45</v>
      </c>
      <c r="F44" s="7" t="s">
        <v>34</v>
      </c>
      <c r="G44" s="7" t="s">
        <v>35</v>
      </c>
      <c r="H44" s="7" t="s">
        <v>36</v>
      </c>
      <c r="I44" s="7" t="s">
        <v>37</v>
      </c>
      <c r="J44" s="9" t="n">
        <f aca="false">IF(B44="","",COUNTIFS($B$2:$B$500,B44,$C$2:$C$500,C44,$F$2:$F$500,F44,$H$2:$H$500,"Trade estimate"))</f>
        <v>2</v>
      </c>
      <c r="K44" s="11" t="n">
        <f aca="false">IF(OR(J44="",J44=0),"",_xlfn.MAXIFS($E$2:$E$500,$B$2:$B$500,B44,$C$2:$C$500,C44,$F$2:$F$500,F44,$H$2:$H$500,"Trade estimate"))</f>
        <v>1.45</v>
      </c>
      <c r="L44" s="11" t="n">
        <f aca="false">IF(OR(J44="",J44=0),"",_xlfn.MINIFS($E$2:$E$500,$B$2:$B$500,B44,$C$2:$C$500,C44,$F$2:$F$500,F44,$H$2:$H$500,"Trade estimate"))</f>
        <v>1.4</v>
      </c>
      <c r="M44" s="12" t="n">
        <f aca="false">IF(OR(J44="",J44&lt;2),"",IF(L44=0,"",(K44-L44)/L44))</f>
        <v>0.0357142857142858</v>
      </c>
      <c r="N44" s="13" t="str">
        <f aca="false">IF(B44="","",IF(J44&lt;2,"Needs 2+ trade sources",IF(M44&gt;Lists!$E$2,"CHECK","OK")))</f>
        <v>OK</v>
      </c>
      <c r="O44" s="9" t="str">
        <f aca="false">IF(B44="","",IF(J44&lt;2,"Needs 2+ trade sources",IF(M44&lt;=Lists!$E$6,"Good",IF(M44&lt;=Lists!$E$2,"Moderate","Bad"))))</f>
        <v>Good</v>
      </c>
    </row>
    <row r="45" customFormat="false" ht="14.25" hidden="false" customHeight="true" outlineLevel="0" collapsed="false">
      <c r="A45" s="6" t="n">
        <v>46311.875</v>
      </c>
      <c r="B45" s="7" t="s">
        <v>44</v>
      </c>
      <c r="C45" s="8" t="n">
        <v>46307</v>
      </c>
      <c r="D45" s="9" t="n">
        <f aca="false">IF(OR(B45="",C45=""),"",IFERROR(C45-INDEX(Films!$C$2:$C$100,MATCH(B45,Films!$A$2:$A$100,0))+1,""))</f>
        <v>4</v>
      </c>
      <c r="E45" s="10" t="n">
        <v>1.4</v>
      </c>
      <c r="F45" s="7" t="s">
        <v>34</v>
      </c>
      <c r="G45" s="7" t="s">
        <v>39</v>
      </c>
      <c r="H45" s="7" t="s">
        <v>36</v>
      </c>
      <c r="I45" s="7" t="s">
        <v>37</v>
      </c>
      <c r="J45" s="9" t="n">
        <f aca="false">IF(B45="","",COUNTIFS($B$2:$B$500,B45,$C$2:$C$500,C45,$F$2:$F$500,F45,$H$2:$H$500,"Trade estimate"))</f>
        <v>2</v>
      </c>
      <c r="K45" s="11" t="n">
        <f aca="false">IF(OR(J45="",J45=0),"",_xlfn.MAXIFS($E$2:$E$500,$B$2:$B$500,B45,$C$2:$C$500,C45,$F$2:$F$500,F45,$H$2:$H$500,"Trade estimate"))</f>
        <v>1.45</v>
      </c>
      <c r="L45" s="11" t="n">
        <f aca="false">IF(OR(J45="",J45=0),"",_xlfn.MINIFS($E$2:$E$500,$B$2:$B$500,B45,$C$2:$C$500,C45,$F$2:$F$500,F45,$H$2:$H$500,"Trade estimate"))</f>
        <v>1.4</v>
      </c>
      <c r="M45" s="12" t="n">
        <f aca="false">IF(OR(J45="",J45&lt;2),"",IF(L45=0,"",(K45-L45)/L45))</f>
        <v>0.0357142857142858</v>
      </c>
      <c r="N45" s="13" t="str">
        <f aca="false">IF(B45="","",IF(J45&lt;2,"Needs 2+ trade sources",IF(M45&gt;Lists!$E$2,"CHECK","OK")))</f>
        <v>OK</v>
      </c>
      <c r="O45" s="9" t="str">
        <f aca="false">IF(B45="","",IF(J45&lt;2,"Needs 2+ trade sources",IF(M45&lt;=Lists!$E$6,"Good",IF(M45&lt;=Lists!$E$2,"Moderate","Bad"))))</f>
        <v>Good</v>
      </c>
    </row>
    <row r="46" customFormat="false" ht="14.25" hidden="false" customHeight="true" outlineLevel="0" collapsed="false">
      <c r="A46" s="6" t="n">
        <v>46311.875</v>
      </c>
      <c r="B46" s="7" t="s">
        <v>44</v>
      </c>
      <c r="C46" s="8" t="n">
        <v>46307</v>
      </c>
      <c r="D46" s="9" t="n">
        <f aca="false">IF(OR(B46="",C46=""),"",IFERROR(C46-INDEX(Films!$C$2:$C$100,MATCH(B46,Films!$A$2:$A$100,0))+1,""))</f>
        <v>4</v>
      </c>
      <c r="E46" s="10" t="n">
        <v>1.7</v>
      </c>
      <c r="F46" s="7" t="s">
        <v>34</v>
      </c>
      <c r="G46" s="7" t="s">
        <v>40</v>
      </c>
      <c r="H46" s="7" t="s">
        <v>41</v>
      </c>
      <c r="I46" s="7" t="s">
        <v>42</v>
      </c>
      <c r="J46" s="9" t="n">
        <f aca="false">IF(B46="","",COUNTIFS($B$2:$B$500,B46,$C$2:$C$500,C46,$F$2:$F$500,F46,$H$2:$H$500,"Trade estimate"))</f>
        <v>2</v>
      </c>
      <c r="K46" s="11" t="n">
        <f aca="false">IF(OR(J46="",J46=0),"",_xlfn.MAXIFS($E$2:$E$500,$B$2:$B$500,B46,$C$2:$C$500,C46,$F$2:$F$500,F46,$H$2:$H$500,"Trade estimate"))</f>
        <v>1.45</v>
      </c>
      <c r="L46" s="11" t="n">
        <f aca="false">IF(OR(J46="",J46=0),"",_xlfn.MINIFS($E$2:$E$500,$B$2:$B$500,B46,$C$2:$C$500,C46,$F$2:$F$500,F46,$H$2:$H$500,"Trade estimate"))</f>
        <v>1.4</v>
      </c>
      <c r="M46" s="12" t="n">
        <f aca="false">IF(OR(J46="",J46&lt;2),"",IF(L46=0,"",(K46-L46)/L46))</f>
        <v>0.0357142857142858</v>
      </c>
      <c r="N46" s="13" t="str">
        <f aca="false">IF(B46="","",IF(J46&lt;2,"Needs 2+ trade sources",IF(M46&gt;Lists!$E$2,"CHECK","OK")))</f>
        <v>OK</v>
      </c>
      <c r="O46" s="9" t="str">
        <f aca="false">IF(B46="","",IF(J46&lt;2,"Needs 2+ trade sources",IF(M46&lt;=Lists!$E$6,"Good",IF(M46&lt;=Lists!$E$2,"Moderate","Bad"))))</f>
        <v>Good</v>
      </c>
    </row>
    <row r="47" customFormat="false" ht="14.25" hidden="false" customHeight="true" outlineLevel="0" collapsed="false">
      <c r="A47" s="6" t="n">
        <v>46311.875</v>
      </c>
      <c r="B47" s="7" t="s">
        <v>44</v>
      </c>
      <c r="C47" s="8" t="n">
        <v>46308</v>
      </c>
      <c r="D47" s="9" t="n">
        <f aca="false">IF(OR(B47="",C47=""),"",IFERROR(C47-INDEX(Films!$C$2:$C$100,MATCH(B47,Films!$A$2:$A$100,0))+1,""))</f>
        <v>5</v>
      </c>
      <c r="E47" s="10" t="n">
        <v>1.35</v>
      </c>
      <c r="F47" s="7" t="s">
        <v>34</v>
      </c>
      <c r="G47" s="7" t="s">
        <v>35</v>
      </c>
      <c r="H47" s="7" t="s">
        <v>36</v>
      </c>
      <c r="I47" s="7" t="s">
        <v>37</v>
      </c>
      <c r="J47" s="9" t="n">
        <f aca="false">IF(B47="","",COUNTIFS($B$2:$B$500,B47,$C$2:$C$500,C47,$F$2:$F$500,F47,$H$2:$H$500,"Trade estimate"))</f>
        <v>2</v>
      </c>
      <c r="K47" s="11" t="n">
        <f aca="false">IF(OR(J47="",J47=0),"",_xlfn.MAXIFS($E$2:$E$500,$B$2:$B$500,B47,$C$2:$C$500,C47,$F$2:$F$500,F47,$H$2:$H$500,"Trade estimate"))</f>
        <v>1.35</v>
      </c>
      <c r="L47" s="11" t="n">
        <f aca="false">IF(OR(J47="",J47=0),"",_xlfn.MINIFS($E$2:$E$500,$B$2:$B$500,B47,$C$2:$C$500,C47,$F$2:$F$500,F47,$H$2:$H$500,"Trade estimate"))</f>
        <v>1.28</v>
      </c>
      <c r="M47" s="12" t="n">
        <f aca="false">IF(OR(J47="",J47&lt;2),"",IF(L47=0,"",(K47-L47)/L47))</f>
        <v>0.0546875000000001</v>
      </c>
      <c r="N47" s="13" t="str">
        <f aca="false">IF(B47="","",IF(J47&lt;2,"Needs 2+ trade sources",IF(M47&gt;Lists!$E$2,"CHECK","OK")))</f>
        <v>OK</v>
      </c>
      <c r="O47" s="9" t="str">
        <f aca="false">IF(B47="","",IF(J47&lt;2,"Needs 2+ trade sources",IF(M47&lt;=Lists!$E$6,"Good",IF(M47&lt;=Lists!$E$2,"Moderate","Bad"))))</f>
        <v>Moderate</v>
      </c>
    </row>
    <row r="48" customFormat="false" ht="14.25" hidden="false" customHeight="true" outlineLevel="0" collapsed="false">
      <c r="A48" s="6" t="n">
        <v>46311.875</v>
      </c>
      <c r="B48" s="7" t="s">
        <v>44</v>
      </c>
      <c r="C48" s="8" t="n">
        <v>46308</v>
      </c>
      <c r="D48" s="9" t="n">
        <f aca="false">IF(OR(B48="",C48=""),"",IFERROR(C48-INDEX(Films!$C$2:$C$100,MATCH(B48,Films!$A$2:$A$100,0))+1,""))</f>
        <v>5</v>
      </c>
      <c r="E48" s="10" t="n">
        <v>1.28</v>
      </c>
      <c r="F48" s="7" t="s">
        <v>34</v>
      </c>
      <c r="G48" s="7" t="s">
        <v>39</v>
      </c>
      <c r="H48" s="7" t="s">
        <v>36</v>
      </c>
      <c r="I48" s="7" t="s">
        <v>37</v>
      </c>
      <c r="J48" s="9" t="n">
        <f aca="false">IF(B48="","",COUNTIFS($B$2:$B$500,B48,$C$2:$C$500,C48,$F$2:$F$500,F48,$H$2:$H$500,"Trade estimate"))</f>
        <v>2</v>
      </c>
      <c r="K48" s="11" t="n">
        <f aca="false">IF(OR(J48="",J48=0),"",_xlfn.MAXIFS($E$2:$E$500,$B$2:$B$500,B48,$C$2:$C$500,C48,$F$2:$F$500,F48,$H$2:$H$500,"Trade estimate"))</f>
        <v>1.35</v>
      </c>
      <c r="L48" s="11" t="n">
        <f aca="false">IF(OR(J48="",J48=0),"",_xlfn.MINIFS($E$2:$E$500,$B$2:$B$500,B48,$C$2:$C$500,C48,$F$2:$F$500,F48,$H$2:$H$500,"Trade estimate"))</f>
        <v>1.28</v>
      </c>
      <c r="M48" s="12" t="n">
        <f aca="false">IF(OR(J48="",J48&lt;2),"",IF(L48=0,"",(K48-L48)/L48))</f>
        <v>0.0546875000000001</v>
      </c>
      <c r="N48" s="13" t="str">
        <f aca="false">IF(B48="","",IF(J48&lt;2,"Needs 2+ trade sources",IF(M48&gt;Lists!$E$2,"CHECK","OK")))</f>
        <v>OK</v>
      </c>
      <c r="O48" s="9" t="str">
        <f aca="false">IF(B48="","",IF(J48&lt;2,"Needs 2+ trade sources",IF(M48&lt;=Lists!$E$6,"Good",IF(M48&lt;=Lists!$E$2,"Moderate","Bad"))))</f>
        <v>Moderate</v>
      </c>
    </row>
    <row r="49" customFormat="false" ht="14.25" hidden="false" customHeight="true" outlineLevel="0" collapsed="false">
      <c r="A49" s="6" t="n">
        <v>46311.875</v>
      </c>
      <c r="B49" s="7" t="s">
        <v>44</v>
      </c>
      <c r="C49" s="8" t="n">
        <v>46308</v>
      </c>
      <c r="D49" s="9" t="n">
        <f aca="false">IF(OR(B49="",C49=""),"",IFERROR(C49-INDEX(Films!$C$2:$C$100,MATCH(B49,Films!$A$2:$A$100,0))+1,""))</f>
        <v>5</v>
      </c>
      <c r="E49" s="10" t="n">
        <v>1.55</v>
      </c>
      <c r="F49" s="7" t="s">
        <v>34</v>
      </c>
      <c r="G49" s="7" t="s">
        <v>40</v>
      </c>
      <c r="H49" s="7" t="s">
        <v>41</v>
      </c>
      <c r="I49" s="7" t="s">
        <v>42</v>
      </c>
      <c r="J49" s="9" t="n">
        <f aca="false">IF(B49="","",COUNTIFS($B$2:$B$500,B49,$C$2:$C$500,C49,$F$2:$F$500,F49,$H$2:$H$500,"Trade estimate"))</f>
        <v>2</v>
      </c>
      <c r="K49" s="11" t="n">
        <f aca="false">IF(OR(J49="",J49=0),"",_xlfn.MAXIFS($E$2:$E$500,$B$2:$B$500,B49,$C$2:$C$500,C49,$F$2:$F$500,F49,$H$2:$H$500,"Trade estimate"))</f>
        <v>1.35</v>
      </c>
      <c r="L49" s="11" t="n">
        <f aca="false">IF(OR(J49="",J49=0),"",_xlfn.MINIFS($E$2:$E$500,$B$2:$B$500,B49,$C$2:$C$500,C49,$F$2:$F$500,F49,$H$2:$H$500,"Trade estimate"))</f>
        <v>1.28</v>
      </c>
      <c r="M49" s="12" t="n">
        <f aca="false">IF(OR(J49="",J49&lt;2),"",IF(L49=0,"",(K49-L49)/L49))</f>
        <v>0.0546875000000001</v>
      </c>
      <c r="N49" s="13" t="str">
        <f aca="false">IF(B49="","",IF(J49&lt;2,"Needs 2+ trade sources",IF(M49&gt;Lists!$E$2,"CHECK","OK")))</f>
        <v>OK</v>
      </c>
      <c r="O49" s="9" t="str">
        <f aca="false">IF(B49="","",IF(J49&lt;2,"Needs 2+ trade sources",IF(M49&lt;=Lists!$E$6,"Good",IF(M49&lt;=Lists!$E$2,"Moderate","Bad"))))</f>
        <v>Moderate</v>
      </c>
    </row>
    <row r="50" customFormat="false" ht="14.25" hidden="false" customHeight="true" outlineLevel="0" collapsed="false">
      <c r="A50" s="6" t="n">
        <v>46311.875</v>
      </c>
      <c r="B50" s="7" t="s">
        <v>44</v>
      </c>
      <c r="C50" s="8" t="n">
        <v>46309</v>
      </c>
      <c r="D50" s="9" t="n">
        <f aca="false">IF(OR(B50="",C50=""),"",IFERROR(C50-INDEX(Films!$C$2:$C$100,MATCH(B50,Films!$A$2:$A$100,0))+1,""))</f>
        <v>6</v>
      </c>
      <c r="E50" s="10" t="n">
        <v>1.1</v>
      </c>
      <c r="F50" s="7" t="s">
        <v>34</v>
      </c>
      <c r="G50" s="7" t="s">
        <v>35</v>
      </c>
      <c r="H50" s="7" t="s">
        <v>36</v>
      </c>
      <c r="I50" s="7" t="s">
        <v>37</v>
      </c>
      <c r="J50" s="9" t="n">
        <f aca="false">IF(B50="","",COUNTIFS($B$2:$B$500,B50,$C$2:$C$500,C50,$F$2:$F$500,F50,$H$2:$H$500,"Trade estimate"))</f>
        <v>2</v>
      </c>
      <c r="K50" s="11" t="n">
        <f aca="false">IF(OR(J50="",J50=0),"",_xlfn.MAXIFS($E$2:$E$500,$B$2:$B$500,B50,$C$2:$C$500,C50,$F$2:$F$500,F50,$H$2:$H$500,"Trade estimate"))</f>
        <v>1.1</v>
      </c>
      <c r="L50" s="11" t="n">
        <f aca="false">IF(OR(J50="",J50=0),"",_xlfn.MINIFS($E$2:$E$500,$B$2:$B$500,B50,$C$2:$C$500,C50,$F$2:$F$500,F50,$H$2:$H$500,"Trade estimate"))</f>
        <v>1.05</v>
      </c>
      <c r="M50" s="12" t="n">
        <f aca="false">IF(OR(J50="",J50&lt;2),"",IF(L50=0,"",(K50-L50)/L50))</f>
        <v>0.0476190476190477</v>
      </c>
      <c r="N50" s="13" t="str">
        <f aca="false">IF(B50="","",IF(J50&lt;2,"Needs 2+ trade sources",IF(M50&gt;Lists!$E$2,"CHECK","OK")))</f>
        <v>OK</v>
      </c>
      <c r="O50" s="9" t="str">
        <f aca="false">IF(B50="","",IF(J50&lt;2,"Needs 2+ trade sources",IF(M50&lt;=Lists!$E$6,"Good",IF(M50&lt;=Lists!$E$2,"Moderate","Bad"))))</f>
        <v>Good</v>
      </c>
    </row>
    <row r="51" customFormat="false" ht="14.25" hidden="false" customHeight="true" outlineLevel="0" collapsed="false">
      <c r="A51" s="6" t="n">
        <v>46311.875</v>
      </c>
      <c r="B51" s="7" t="s">
        <v>44</v>
      </c>
      <c r="C51" s="8" t="n">
        <v>46309</v>
      </c>
      <c r="D51" s="9" t="n">
        <f aca="false">IF(OR(B51="",C51=""),"",IFERROR(C51-INDEX(Films!$C$2:$C$100,MATCH(B51,Films!$A$2:$A$100,0))+1,""))</f>
        <v>6</v>
      </c>
      <c r="E51" s="10" t="n">
        <v>1.05</v>
      </c>
      <c r="F51" s="7" t="s">
        <v>34</v>
      </c>
      <c r="G51" s="7" t="s">
        <v>39</v>
      </c>
      <c r="H51" s="7" t="s">
        <v>36</v>
      </c>
      <c r="I51" s="7" t="s">
        <v>37</v>
      </c>
      <c r="J51" s="9" t="n">
        <f aca="false">IF(B51="","",COUNTIFS($B$2:$B$500,B51,$C$2:$C$500,C51,$F$2:$F$500,F51,$H$2:$H$500,"Trade estimate"))</f>
        <v>2</v>
      </c>
      <c r="K51" s="11" t="n">
        <f aca="false">IF(OR(J51="",J51=0),"",_xlfn.MAXIFS($E$2:$E$500,$B$2:$B$500,B51,$C$2:$C$500,C51,$F$2:$F$500,F51,$H$2:$H$500,"Trade estimate"))</f>
        <v>1.1</v>
      </c>
      <c r="L51" s="11" t="n">
        <f aca="false">IF(OR(J51="",J51=0),"",_xlfn.MINIFS($E$2:$E$500,$B$2:$B$500,B51,$C$2:$C$500,C51,$F$2:$F$500,F51,$H$2:$H$500,"Trade estimate"))</f>
        <v>1.05</v>
      </c>
      <c r="M51" s="12" t="n">
        <f aca="false">IF(OR(J51="",J51&lt;2),"",IF(L51=0,"",(K51-L51)/L51))</f>
        <v>0.0476190476190477</v>
      </c>
      <c r="N51" s="13" t="str">
        <f aca="false">IF(B51="","",IF(J51&lt;2,"Needs 2+ trade sources",IF(M51&gt;Lists!$E$2,"CHECK","OK")))</f>
        <v>OK</v>
      </c>
      <c r="O51" s="9" t="str">
        <f aca="false">IF(B51="","",IF(J51&lt;2,"Needs 2+ trade sources",IF(M51&lt;=Lists!$E$6,"Good",IF(M51&lt;=Lists!$E$2,"Moderate","Bad"))))</f>
        <v>Good</v>
      </c>
    </row>
    <row r="52" customFormat="false" ht="14.25" hidden="false" customHeight="true" outlineLevel="0" collapsed="false">
      <c r="A52" s="6" t="n">
        <v>46311.875</v>
      </c>
      <c r="B52" s="7" t="s">
        <v>44</v>
      </c>
      <c r="C52" s="8" t="n">
        <v>46309</v>
      </c>
      <c r="D52" s="9" t="n">
        <f aca="false">IF(OR(B52="",C52=""),"",IFERROR(C52-INDEX(Films!$C$2:$C$100,MATCH(B52,Films!$A$2:$A$100,0))+1,""))</f>
        <v>6</v>
      </c>
      <c r="E52" s="10" t="n">
        <v>1.3</v>
      </c>
      <c r="F52" s="7" t="s">
        <v>34</v>
      </c>
      <c r="G52" s="7" t="s">
        <v>40</v>
      </c>
      <c r="H52" s="7" t="s">
        <v>41</v>
      </c>
      <c r="I52" s="7" t="s">
        <v>42</v>
      </c>
      <c r="J52" s="9" t="n">
        <f aca="false">IF(B52="","",COUNTIFS($B$2:$B$500,B52,$C$2:$C$500,C52,$F$2:$F$500,F52,$H$2:$H$500,"Trade estimate"))</f>
        <v>2</v>
      </c>
      <c r="K52" s="11" t="n">
        <f aca="false">IF(OR(J52="",J52=0),"",_xlfn.MAXIFS($E$2:$E$500,$B$2:$B$500,B52,$C$2:$C$500,C52,$F$2:$F$500,F52,$H$2:$H$500,"Trade estimate"))</f>
        <v>1.1</v>
      </c>
      <c r="L52" s="11" t="n">
        <f aca="false">IF(OR(J52="",J52=0),"",_xlfn.MINIFS($E$2:$E$500,$B$2:$B$500,B52,$C$2:$C$500,C52,$F$2:$F$500,F52,$H$2:$H$500,"Trade estimate"))</f>
        <v>1.05</v>
      </c>
      <c r="M52" s="12" t="n">
        <f aca="false">IF(OR(J52="",J52&lt;2),"",IF(L52=0,"",(K52-L52)/L52))</f>
        <v>0.0476190476190477</v>
      </c>
      <c r="N52" s="13" t="str">
        <f aca="false">IF(B52="","",IF(J52&lt;2,"Needs 2+ trade sources",IF(M52&gt;Lists!$E$2,"CHECK","OK")))</f>
        <v>OK</v>
      </c>
      <c r="O52" s="9" t="str">
        <f aca="false">IF(B52="","",IF(J52&lt;2,"Needs 2+ trade sources",IF(M52&lt;=Lists!$E$6,"Good",IF(M52&lt;=Lists!$E$2,"Moderate","Bad"))))</f>
        <v>Good</v>
      </c>
    </row>
    <row r="53" customFormat="false" ht="14.25" hidden="false" customHeight="true" outlineLevel="0" collapsed="false">
      <c r="A53" s="6" t="n">
        <v>46311.875</v>
      </c>
      <c r="B53" s="7" t="s">
        <v>44</v>
      </c>
      <c r="C53" s="8" t="n">
        <v>46310</v>
      </c>
      <c r="D53" s="9" t="n">
        <f aca="false">IF(OR(B53="",C53=""),"",IFERROR(C53-INDEX(Films!$C$2:$C$100,MATCH(B53,Films!$A$2:$A$100,0))+1,""))</f>
        <v>7</v>
      </c>
      <c r="E53" s="10" t="n">
        <v>0.55</v>
      </c>
      <c r="F53" s="7" t="s">
        <v>34</v>
      </c>
      <c r="G53" s="7" t="s">
        <v>35</v>
      </c>
      <c r="H53" s="7" t="s">
        <v>36</v>
      </c>
      <c r="I53" s="7" t="s">
        <v>37</v>
      </c>
      <c r="J53" s="9" t="n">
        <f aca="false">IF(B53="","",COUNTIFS($B$2:$B$500,B53,$C$2:$C$500,C53,$F$2:$F$500,F53,$H$2:$H$500,"Trade estimate"))</f>
        <v>2</v>
      </c>
      <c r="K53" s="11" t="n">
        <f aca="false">IF(OR(J53="",J53=0),"",_xlfn.MAXIFS($E$2:$E$500,$B$2:$B$500,B53,$C$2:$C$500,C53,$F$2:$F$500,F53,$H$2:$H$500,"Trade estimate"))</f>
        <v>0.55</v>
      </c>
      <c r="L53" s="11" t="n">
        <f aca="false">IF(OR(J53="",J53=0),"",_xlfn.MINIFS($E$2:$E$500,$B$2:$B$500,B53,$C$2:$C$500,C53,$F$2:$F$500,F53,$H$2:$H$500,"Trade estimate"))</f>
        <v>0.52</v>
      </c>
      <c r="M53" s="12" t="n">
        <f aca="false">IF(OR(J53="",J53&lt;2),"",IF(L53=0,"",(K53-L53)/L53))</f>
        <v>0.0576923076923077</v>
      </c>
      <c r="N53" s="13" t="str">
        <f aca="false">IF(B53="","",IF(J53&lt;2,"Needs 2+ trade sources",IF(M53&gt;Lists!$E$2,"CHECK","OK")))</f>
        <v>OK</v>
      </c>
      <c r="O53" s="9" t="str">
        <f aca="false">IF(B53="","",IF(J53&lt;2,"Needs 2+ trade sources",IF(M53&lt;=Lists!$E$6,"Good",IF(M53&lt;=Lists!$E$2,"Moderate","Bad"))))</f>
        <v>Moderate</v>
      </c>
    </row>
    <row r="54" customFormat="false" ht="14.25" hidden="false" customHeight="true" outlineLevel="0" collapsed="false">
      <c r="A54" s="6" t="n">
        <v>46311.875</v>
      </c>
      <c r="B54" s="7" t="s">
        <v>44</v>
      </c>
      <c r="C54" s="8" t="n">
        <v>46310</v>
      </c>
      <c r="D54" s="9" t="n">
        <f aca="false">IF(OR(B54="",C54=""),"",IFERROR(C54-INDEX(Films!$C$2:$C$100,MATCH(B54,Films!$A$2:$A$100,0))+1,""))</f>
        <v>7</v>
      </c>
      <c r="E54" s="10" t="n">
        <v>0.52</v>
      </c>
      <c r="F54" s="7" t="s">
        <v>34</v>
      </c>
      <c r="G54" s="7" t="s">
        <v>39</v>
      </c>
      <c r="H54" s="7" t="s">
        <v>36</v>
      </c>
      <c r="I54" s="7" t="s">
        <v>37</v>
      </c>
      <c r="J54" s="9" t="n">
        <f aca="false">IF(B54="","",COUNTIFS($B$2:$B$500,B54,$C$2:$C$500,C54,$F$2:$F$500,F54,$H$2:$H$500,"Trade estimate"))</f>
        <v>2</v>
      </c>
      <c r="K54" s="11" t="n">
        <f aca="false">IF(OR(J54="",J54=0),"",_xlfn.MAXIFS($E$2:$E$500,$B$2:$B$500,B54,$C$2:$C$500,C54,$F$2:$F$500,F54,$H$2:$H$500,"Trade estimate"))</f>
        <v>0.55</v>
      </c>
      <c r="L54" s="11" t="n">
        <f aca="false">IF(OR(J54="",J54=0),"",_xlfn.MINIFS($E$2:$E$500,$B$2:$B$500,B54,$C$2:$C$500,C54,$F$2:$F$500,F54,$H$2:$H$500,"Trade estimate"))</f>
        <v>0.52</v>
      </c>
      <c r="M54" s="12" t="n">
        <f aca="false">IF(OR(J54="",J54&lt;2),"",IF(L54=0,"",(K54-L54)/L54))</f>
        <v>0.0576923076923077</v>
      </c>
      <c r="N54" s="13" t="str">
        <f aca="false">IF(B54="","",IF(J54&lt;2,"Needs 2+ trade sources",IF(M54&gt;Lists!$E$2,"CHECK","OK")))</f>
        <v>OK</v>
      </c>
      <c r="O54" s="9" t="str">
        <f aca="false">IF(B54="","",IF(J54&lt;2,"Needs 2+ trade sources",IF(M54&lt;=Lists!$E$6,"Good",IF(M54&lt;=Lists!$E$2,"Moderate","Bad"))))</f>
        <v>Moderate</v>
      </c>
    </row>
    <row r="55" customFormat="false" ht="14.25" hidden="false" customHeight="true" outlineLevel="0" collapsed="false">
      <c r="A55" s="6" t="n">
        <v>46311.875</v>
      </c>
      <c r="B55" s="7" t="s">
        <v>44</v>
      </c>
      <c r="C55" s="8" t="n">
        <v>46310</v>
      </c>
      <c r="D55" s="9" t="n">
        <f aca="false">IF(OR(B55="",C55=""),"",IFERROR(C55-INDEX(Films!$C$2:$C$100,MATCH(B55,Films!$A$2:$A$100,0))+1,""))</f>
        <v>7</v>
      </c>
      <c r="E55" s="10" t="n">
        <v>0.65</v>
      </c>
      <c r="F55" s="7" t="s">
        <v>34</v>
      </c>
      <c r="G55" s="7" t="s">
        <v>40</v>
      </c>
      <c r="H55" s="7" t="s">
        <v>41</v>
      </c>
      <c r="I55" s="7" t="s">
        <v>42</v>
      </c>
      <c r="J55" s="9" t="n">
        <f aca="false">IF(B55="","",COUNTIFS($B$2:$B$500,B55,$C$2:$C$500,C55,$F$2:$F$500,F55,$H$2:$H$500,"Trade estimate"))</f>
        <v>2</v>
      </c>
      <c r="K55" s="11" t="n">
        <f aca="false">IF(OR(J55="",J55=0),"",_xlfn.MAXIFS($E$2:$E$500,$B$2:$B$500,B55,$C$2:$C$500,C55,$F$2:$F$500,F55,$H$2:$H$500,"Trade estimate"))</f>
        <v>0.55</v>
      </c>
      <c r="L55" s="11" t="n">
        <f aca="false">IF(OR(J55="",J55=0),"",_xlfn.MINIFS($E$2:$E$500,$B$2:$B$500,B55,$C$2:$C$500,C55,$F$2:$F$500,F55,$H$2:$H$500,"Trade estimate"))</f>
        <v>0.52</v>
      </c>
      <c r="M55" s="12" t="n">
        <f aca="false">IF(OR(J55="",J55&lt;2),"",IF(L55=0,"",(K55-L55)/L55))</f>
        <v>0.0576923076923077</v>
      </c>
      <c r="N55" s="13" t="str">
        <f aca="false">IF(B55="","",IF(J55&lt;2,"Needs 2+ trade sources",IF(M55&gt;Lists!$E$2,"CHECK","OK")))</f>
        <v>OK</v>
      </c>
      <c r="O55" s="9" t="str">
        <f aca="false">IF(B55="","",IF(J55&lt;2,"Needs 2+ trade sources",IF(M55&lt;=Lists!$E$6,"Good",IF(M55&lt;=Lists!$E$2,"Moderate","Bad"))))</f>
        <v>Moderate</v>
      </c>
    </row>
    <row r="56" customFormat="false" ht="14.25" hidden="false" customHeight="true" outlineLevel="0" collapsed="false">
      <c r="A56" s="6" t="n">
        <v>46311.875</v>
      </c>
      <c r="B56" s="7" t="s">
        <v>44</v>
      </c>
      <c r="C56" s="8" t="n">
        <v>46311</v>
      </c>
      <c r="D56" s="9" t="n">
        <f aca="false">IF(OR(B56="",C56=""),"",IFERROR(C56-INDEX(Films!$C$2:$C$100,MATCH(B56,Films!$A$2:$A$100,0))+1,""))</f>
        <v>8</v>
      </c>
      <c r="E56" s="10" t="n">
        <v>0.5</v>
      </c>
      <c r="F56" s="7" t="s">
        <v>34</v>
      </c>
      <c r="G56" s="7" t="s">
        <v>35</v>
      </c>
      <c r="H56" s="7" t="s">
        <v>36</v>
      </c>
      <c r="I56" s="7" t="s">
        <v>37</v>
      </c>
      <c r="J56" s="9" t="n">
        <f aca="false">IF(B56="","",COUNTIFS($B$2:$B$500,B56,$C$2:$C$500,C56,$F$2:$F$500,F56,$H$2:$H$500,"Trade estimate"))</f>
        <v>2</v>
      </c>
      <c r="K56" s="11" t="n">
        <f aca="false">IF(OR(J56="",J56=0),"",_xlfn.MAXIFS($E$2:$E$500,$B$2:$B$500,B56,$C$2:$C$500,C56,$F$2:$F$500,F56,$H$2:$H$500,"Trade estimate"))</f>
        <v>0.5</v>
      </c>
      <c r="L56" s="11" t="n">
        <f aca="false">IF(OR(J56="",J56=0),"",_xlfn.MINIFS($E$2:$E$500,$B$2:$B$500,B56,$C$2:$C$500,C56,$F$2:$F$500,F56,$H$2:$H$500,"Trade estimate"))</f>
        <v>0.48</v>
      </c>
      <c r="M56" s="12" t="n">
        <f aca="false">IF(OR(J56="",J56&lt;2),"",IF(L56=0,"",(K56-L56)/L56))</f>
        <v>0.0416666666666667</v>
      </c>
      <c r="N56" s="13" t="str">
        <f aca="false">IF(B56="","",IF(J56&lt;2,"Needs 2+ trade sources",IF(M56&gt;Lists!$E$2,"CHECK","OK")))</f>
        <v>OK</v>
      </c>
      <c r="O56" s="9" t="str">
        <f aca="false">IF(B56="","",IF(J56&lt;2,"Needs 2+ trade sources",IF(M56&lt;=Lists!$E$6,"Good",IF(M56&lt;=Lists!$E$2,"Moderate","Bad"))))</f>
        <v>Good</v>
      </c>
    </row>
    <row r="57" customFormat="false" ht="14.25" hidden="false" customHeight="true" outlineLevel="0" collapsed="false">
      <c r="A57" s="6" t="n">
        <v>46311.875</v>
      </c>
      <c r="B57" s="7" t="s">
        <v>44</v>
      </c>
      <c r="C57" s="8" t="n">
        <v>46311</v>
      </c>
      <c r="D57" s="9" t="n">
        <f aca="false">IF(OR(B57="",C57=""),"",IFERROR(C57-INDEX(Films!$C$2:$C$100,MATCH(B57,Films!$A$2:$A$100,0))+1,""))</f>
        <v>8</v>
      </c>
      <c r="E57" s="10" t="n">
        <v>0.48</v>
      </c>
      <c r="F57" s="7" t="s">
        <v>34</v>
      </c>
      <c r="G57" s="7" t="s">
        <v>39</v>
      </c>
      <c r="H57" s="7" t="s">
        <v>36</v>
      </c>
      <c r="I57" s="7" t="s">
        <v>37</v>
      </c>
      <c r="J57" s="9" t="n">
        <f aca="false">IF(B57="","",COUNTIFS($B$2:$B$500,B57,$C$2:$C$500,C57,$F$2:$F$500,F57,$H$2:$H$500,"Trade estimate"))</f>
        <v>2</v>
      </c>
      <c r="K57" s="11" t="n">
        <f aca="false">IF(OR(J57="",J57=0),"",_xlfn.MAXIFS($E$2:$E$500,$B$2:$B$500,B57,$C$2:$C$500,C57,$F$2:$F$500,F57,$H$2:$H$500,"Trade estimate"))</f>
        <v>0.5</v>
      </c>
      <c r="L57" s="11" t="n">
        <f aca="false">IF(OR(J57="",J57=0),"",_xlfn.MINIFS($E$2:$E$500,$B$2:$B$500,B57,$C$2:$C$500,C57,$F$2:$F$500,F57,$H$2:$H$500,"Trade estimate"))</f>
        <v>0.48</v>
      </c>
      <c r="M57" s="12" t="n">
        <f aca="false">IF(OR(J57="",J57&lt;2),"",IF(L57=0,"",(K57-L57)/L57))</f>
        <v>0.0416666666666667</v>
      </c>
      <c r="N57" s="13" t="str">
        <f aca="false">IF(B57="","",IF(J57&lt;2,"Needs 2+ trade sources",IF(M57&gt;Lists!$E$2,"CHECK","OK")))</f>
        <v>OK</v>
      </c>
      <c r="O57" s="9" t="str">
        <f aca="false">IF(B57="","",IF(J57&lt;2,"Needs 2+ trade sources",IF(M57&lt;=Lists!$E$6,"Good",IF(M57&lt;=Lists!$E$2,"Moderate","Bad"))))</f>
        <v>Good</v>
      </c>
    </row>
    <row r="58" customFormat="false" ht="14.25" hidden="false" customHeight="true" outlineLevel="0" collapsed="false">
      <c r="A58" s="6" t="n">
        <v>46311.875</v>
      </c>
      <c r="B58" s="7" t="s">
        <v>44</v>
      </c>
      <c r="C58" s="8" t="n">
        <v>46311</v>
      </c>
      <c r="D58" s="9" t="n">
        <f aca="false">IF(OR(B58="",C58=""),"",IFERROR(C58-INDEX(Films!$C$2:$C$100,MATCH(B58,Films!$A$2:$A$100,0))+1,""))</f>
        <v>8</v>
      </c>
      <c r="E58" s="10" t="n">
        <v>0.6</v>
      </c>
      <c r="F58" s="7" t="s">
        <v>34</v>
      </c>
      <c r="G58" s="7" t="s">
        <v>40</v>
      </c>
      <c r="H58" s="7" t="s">
        <v>41</v>
      </c>
      <c r="I58" s="7" t="s">
        <v>42</v>
      </c>
      <c r="J58" s="9" t="n">
        <f aca="false">IF(B58="","",COUNTIFS($B$2:$B$500,B58,$C$2:$C$500,C58,$F$2:$F$500,F58,$H$2:$H$500,"Trade estimate"))</f>
        <v>2</v>
      </c>
      <c r="K58" s="11" t="n">
        <f aca="false">IF(OR(J58="",J58=0),"",_xlfn.MAXIFS($E$2:$E$500,$B$2:$B$500,B58,$C$2:$C$500,C58,$F$2:$F$500,F58,$H$2:$H$500,"Trade estimate"))</f>
        <v>0.5</v>
      </c>
      <c r="L58" s="11" t="n">
        <f aca="false">IF(OR(J58="",J58=0),"",_xlfn.MINIFS($E$2:$E$500,$B$2:$B$500,B58,$C$2:$C$500,C58,$F$2:$F$500,F58,$H$2:$H$500,"Trade estimate"))</f>
        <v>0.48</v>
      </c>
      <c r="M58" s="12" t="n">
        <f aca="false">IF(OR(J58="",J58&lt;2),"",IF(L58=0,"",(K58-L58)/L58))</f>
        <v>0.0416666666666667</v>
      </c>
      <c r="N58" s="13" t="str">
        <f aca="false">IF(B58="","",IF(J58&lt;2,"Needs 2+ trade sources",IF(M58&gt;Lists!$E$2,"CHECK","OK")))</f>
        <v>OK</v>
      </c>
      <c r="O58" s="9" t="str">
        <f aca="false">IF(B58="","",IF(J58&lt;2,"Needs 2+ trade sources",IF(M58&lt;=Lists!$E$6,"Good",IF(M58&lt;=Lists!$E$2,"Moderate","Bad"))))</f>
        <v>Good</v>
      </c>
    </row>
    <row r="59" customFormat="false" ht="14.25" hidden="false" customHeight="true" outlineLevel="0" collapsed="false">
      <c r="A59" s="6" t="n">
        <v>46311.875</v>
      </c>
      <c r="B59" s="7" t="s">
        <v>45</v>
      </c>
      <c r="C59" s="8" t="n">
        <v>46305</v>
      </c>
      <c r="D59" s="9" t="n">
        <f aca="false">IF(OR(B59="",C59=""),"",IFERROR(C59-INDEX(Films!$C$2:$C$100,MATCH(B59,Films!$A$2:$A$100,0))+1,""))</f>
        <v>10</v>
      </c>
      <c r="E59" s="10" t="n">
        <v>3.1</v>
      </c>
      <c r="F59" s="7" t="s">
        <v>34</v>
      </c>
      <c r="G59" s="7" t="s">
        <v>35</v>
      </c>
      <c r="H59" s="7" t="s">
        <v>36</v>
      </c>
      <c r="I59" s="7" t="s">
        <v>37</v>
      </c>
      <c r="J59" s="9" t="n">
        <f aca="false">IF(B59="","",COUNTIFS($B$2:$B$500,B59,$C$2:$C$500,C59,$F$2:$F$500,F59,$H$2:$H$500,"Trade estimate"))</f>
        <v>2</v>
      </c>
      <c r="K59" s="11" t="n">
        <f aca="false">IF(OR(J59="",J59=0),"",_xlfn.MAXIFS($E$2:$E$500,$B$2:$B$500,B59,$C$2:$C$500,C59,$F$2:$F$500,F59,$H$2:$H$500,"Trade estimate"))</f>
        <v>3.1</v>
      </c>
      <c r="L59" s="11" t="n">
        <f aca="false">IF(OR(J59="",J59=0),"",_xlfn.MINIFS($E$2:$E$500,$B$2:$B$500,B59,$C$2:$C$500,C59,$F$2:$F$500,F59,$H$2:$H$500,"Trade estimate"))</f>
        <v>2.95</v>
      </c>
      <c r="M59" s="12" t="n">
        <f aca="false">IF(OR(J59="",J59&lt;2),"",IF(L59=0,"",(K59-L59)/L59))</f>
        <v>0.0508474576271186</v>
      </c>
      <c r="N59" s="13" t="str">
        <f aca="false">IF(B59="","",IF(J59&lt;2,"Needs 2+ trade sources",IF(M59&gt;Lists!$E$2,"CHECK","OK")))</f>
        <v>OK</v>
      </c>
      <c r="O59" s="9" t="str">
        <f aca="false">IF(B59="","",IF(J59&lt;2,"Needs 2+ trade sources",IF(M59&lt;=Lists!$E$6,"Good",IF(M59&lt;=Lists!$E$2,"Moderate","Bad"))))</f>
        <v>Moderate</v>
      </c>
    </row>
    <row r="60" customFormat="false" ht="14.25" hidden="false" customHeight="true" outlineLevel="0" collapsed="false">
      <c r="A60" s="6" t="n">
        <v>46311.875</v>
      </c>
      <c r="B60" s="7" t="s">
        <v>45</v>
      </c>
      <c r="C60" s="8" t="n">
        <v>46305</v>
      </c>
      <c r="D60" s="9" t="n">
        <f aca="false">IF(OR(B60="",C60=""),"",IFERROR(C60-INDEX(Films!$C$2:$C$100,MATCH(B60,Films!$A$2:$A$100,0))+1,""))</f>
        <v>10</v>
      </c>
      <c r="E60" s="10" t="n">
        <v>2.95</v>
      </c>
      <c r="F60" s="7" t="s">
        <v>34</v>
      </c>
      <c r="G60" s="7" t="s">
        <v>39</v>
      </c>
      <c r="H60" s="7" t="s">
        <v>36</v>
      </c>
      <c r="I60" s="7" t="s">
        <v>37</v>
      </c>
      <c r="J60" s="9" t="n">
        <f aca="false">IF(B60="","",COUNTIFS($B$2:$B$500,B60,$C$2:$C$500,C60,$F$2:$F$500,F60,$H$2:$H$500,"Trade estimate"))</f>
        <v>2</v>
      </c>
      <c r="K60" s="11" t="n">
        <f aca="false">IF(OR(J60="",J60=0),"",_xlfn.MAXIFS($E$2:$E$500,$B$2:$B$500,B60,$C$2:$C$500,C60,$F$2:$F$500,F60,$H$2:$H$500,"Trade estimate"))</f>
        <v>3.1</v>
      </c>
      <c r="L60" s="11" t="n">
        <f aca="false">IF(OR(J60="",J60=0),"",_xlfn.MINIFS($E$2:$E$500,$B$2:$B$500,B60,$C$2:$C$500,C60,$F$2:$F$500,F60,$H$2:$H$500,"Trade estimate"))</f>
        <v>2.95</v>
      </c>
      <c r="M60" s="12" t="n">
        <f aca="false">IF(OR(J60="",J60&lt;2),"",IF(L60=0,"",(K60-L60)/L60))</f>
        <v>0.0508474576271186</v>
      </c>
      <c r="N60" s="13" t="str">
        <f aca="false">IF(B60="","",IF(J60&lt;2,"Needs 2+ trade sources",IF(M60&gt;Lists!$E$2,"CHECK","OK")))</f>
        <v>OK</v>
      </c>
      <c r="O60" s="9" t="str">
        <f aca="false">IF(B60="","",IF(J60&lt;2,"Needs 2+ trade sources",IF(M60&lt;=Lists!$E$6,"Good",IF(M60&lt;=Lists!$E$2,"Moderate","Bad"))))</f>
        <v>Moderate</v>
      </c>
    </row>
    <row r="61" customFormat="false" ht="14.25" hidden="false" customHeight="true" outlineLevel="0" collapsed="false">
      <c r="A61" s="6" t="n">
        <v>46311.875</v>
      </c>
      <c r="B61" s="7" t="s">
        <v>45</v>
      </c>
      <c r="C61" s="8" t="n">
        <v>46305</v>
      </c>
      <c r="D61" s="9" t="n">
        <f aca="false">IF(OR(B61="",C61=""),"",IFERROR(C61-INDEX(Films!$C$2:$C$100,MATCH(B61,Films!$A$2:$A$100,0))+1,""))</f>
        <v>10</v>
      </c>
      <c r="E61" s="10" t="n">
        <v>3.4</v>
      </c>
      <c r="F61" s="7" t="s">
        <v>34</v>
      </c>
      <c r="G61" s="7" t="s">
        <v>40</v>
      </c>
      <c r="H61" s="7" t="s">
        <v>41</v>
      </c>
      <c r="I61" s="7" t="s">
        <v>42</v>
      </c>
      <c r="J61" s="9" t="n">
        <f aca="false">IF(B61="","",COUNTIFS($B$2:$B$500,B61,$C$2:$C$500,C61,$F$2:$F$500,F61,$H$2:$H$500,"Trade estimate"))</f>
        <v>2</v>
      </c>
      <c r="K61" s="11" t="n">
        <f aca="false">IF(OR(J61="",J61=0),"",_xlfn.MAXIFS($E$2:$E$500,$B$2:$B$500,B61,$C$2:$C$500,C61,$F$2:$F$500,F61,$H$2:$H$500,"Trade estimate"))</f>
        <v>3.1</v>
      </c>
      <c r="L61" s="11" t="n">
        <f aca="false">IF(OR(J61="",J61=0),"",_xlfn.MINIFS($E$2:$E$500,$B$2:$B$500,B61,$C$2:$C$500,C61,$F$2:$F$500,F61,$H$2:$H$500,"Trade estimate"))</f>
        <v>2.95</v>
      </c>
      <c r="M61" s="12" t="n">
        <f aca="false">IF(OR(J61="",J61&lt;2),"",IF(L61=0,"",(K61-L61)/L61))</f>
        <v>0.0508474576271186</v>
      </c>
      <c r="N61" s="13" t="str">
        <f aca="false">IF(B61="","",IF(J61&lt;2,"Needs 2+ trade sources",IF(M61&gt;Lists!$E$2,"CHECK","OK")))</f>
        <v>OK</v>
      </c>
      <c r="O61" s="9" t="str">
        <f aca="false">IF(B61="","",IF(J61&lt;2,"Needs 2+ trade sources",IF(M61&lt;=Lists!$E$6,"Good",IF(M61&lt;=Lists!$E$2,"Moderate","Bad"))))</f>
        <v>Moderate</v>
      </c>
    </row>
    <row r="62" customFormat="false" ht="14.25" hidden="false" customHeight="true" outlineLevel="0" collapsed="false">
      <c r="A62" s="6" t="n">
        <v>46311.875</v>
      </c>
      <c r="B62" s="7" t="s">
        <v>45</v>
      </c>
      <c r="C62" s="8" t="n">
        <v>46306</v>
      </c>
      <c r="D62" s="9" t="n">
        <f aca="false">IF(OR(B62="",C62=""),"",IFERROR(C62-INDEX(Films!$C$2:$C$100,MATCH(B62,Films!$A$2:$A$100,0))+1,""))</f>
        <v>11</v>
      </c>
      <c r="E62" s="10" t="n">
        <v>3.2</v>
      </c>
      <c r="F62" s="7" t="s">
        <v>34</v>
      </c>
      <c r="G62" s="7" t="s">
        <v>35</v>
      </c>
      <c r="H62" s="7" t="s">
        <v>36</v>
      </c>
      <c r="I62" s="7" t="s">
        <v>37</v>
      </c>
      <c r="J62" s="9" t="n">
        <f aca="false">IF(B62="","",COUNTIFS($B$2:$B$500,B62,$C$2:$C$500,C62,$F$2:$F$500,F62,$H$2:$H$500,"Trade estimate"))</f>
        <v>2</v>
      </c>
      <c r="K62" s="11" t="n">
        <f aca="false">IF(OR(J62="",J62=0),"",_xlfn.MAXIFS($E$2:$E$500,$B$2:$B$500,B62,$C$2:$C$500,C62,$F$2:$F$500,F62,$H$2:$H$500,"Trade estimate"))</f>
        <v>3.2</v>
      </c>
      <c r="L62" s="11" t="n">
        <f aca="false">IF(OR(J62="",J62=0),"",_xlfn.MINIFS($E$2:$E$500,$B$2:$B$500,B62,$C$2:$C$500,C62,$F$2:$F$500,F62,$H$2:$H$500,"Trade estimate"))</f>
        <v>3.05</v>
      </c>
      <c r="M62" s="12" t="n">
        <f aca="false">IF(OR(J62="",J62&lt;2),"",IF(L62=0,"",(K62-L62)/L62))</f>
        <v>0.0491803278688526</v>
      </c>
      <c r="N62" s="13" t="str">
        <f aca="false">IF(B62="","",IF(J62&lt;2,"Needs 2+ trade sources",IF(M62&gt;Lists!$E$2,"CHECK","OK")))</f>
        <v>OK</v>
      </c>
      <c r="O62" s="9" t="str">
        <f aca="false">IF(B62="","",IF(J62&lt;2,"Needs 2+ trade sources",IF(M62&lt;=Lists!$E$6,"Good",IF(M62&lt;=Lists!$E$2,"Moderate","Bad"))))</f>
        <v>Good</v>
      </c>
    </row>
    <row r="63" customFormat="false" ht="14.25" hidden="false" customHeight="true" outlineLevel="0" collapsed="false">
      <c r="A63" s="6" t="n">
        <v>46311.875</v>
      </c>
      <c r="B63" s="7" t="s">
        <v>45</v>
      </c>
      <c r="C63" s="8" t="n">
        <v>46306</v>
      </c>
      <c r="D63" s="9" t="n">
        <f aca="false">IF(OR(B63="",C63=""),"",IFERROR(C63-INDEX(Films!$C$2:$C$100,MATCH(B63,Films!$A$2:$A$100,0))+1,""))</f>
        <v>11</v>
      </c>
      <c r="E63" s="10" t="n">
        <v>3.05</v>
      </c>
      <c r="F63" s="7" t="s">
        <v>34</v>
      </c>
      <c r="G63" s="7" t="s">
        <v>39</v>
      </c>
      <c r="H63" s="7" t="s">
        <v>36</v>
      </c>
      <c r="I63" s="7" t="s">
        <v>37</v>
      </c>
      <c r="J63" s="9" t="n">
        <f aca="false">IF(B63="","",COUNTIFS($B$2:$B$500,B63,$C$2:$C$500,C63,$F$2:$F$500,F63,$H$2:$H$500,"Trade estimate"))</f>
        <v>2</v>
      </c>
      <c r="K63" s="11" t="n">
        <f aca="false">IF(OR(J63="",J63=0),"",_xlfn.MAXIFS($E$2:$E$500,$B$2:$B$500,B63,$C$2:$C$500,C63,$F$2:$F$500,F63,$H$2:$H$500,"Trade estimate"))</f>
        <v>3.2</v>
      </c>
      <c r="L63" s="11" t="n">
        <f aca="false">IF(OR(J63="",J63=0),"",_xlfn.MINIFS($E$2:$E$500,$B$2:$B$500,B63,$C$2:$C$500,C63,$F$2:$F$500,F63,$H$2:$H$500,"Trade estimate"))</f>
        <v>3.05</v>
      </c>
      <c r="M63" s="12" t="n">
        <f aca="false">IF(OR(J63="",J63&lt;2),"",IF(L63=0,"",(K63-L63)/L63))</f>
        <v>0.0491803278688526</v>
      </c>
      <c r="N63" s="13" t="str">
        <f aca="false">IF(B63="","",IF(J63&lt;2,"Needs 2+ trade sources",IF(M63&gt;Lists!$E$2,"CHECK","OK")))</f>
        <v>OK</v>
      </c>
      <c r="O63" s="9" t="str">
        <f aca="false">IF(B63="","",IF(J63&lt;2,"Needs 2+ trade sources",IF(M63&lt;=Lists!$E$6,"Good",IF(M63&lt;=Lists!$E$2,"Moderate","Bad"))))</f>
        <v>Good</v>
      </c>
    </row>
    <row r="64" customFormat="false" ht="14.25" hidden="false" customHeight="true" outlineLevel="0" collapsed="false">
      <c r="A64" s="6" t="n">
        <v>46311.875</v>
      </c>
      <c r="B64" s="7" t="s">
        <v>45</v>
      </c>
      <c r="C64" s="8" t="n">
        <v>46306</v>
      </c>
      <c r="D64" s="9" t="n">
        <f aca="false">IF(OR(B64="",C64=""),"",IFERROR(C64-INDEX(Films!$C$2:$C$100,MATCH(B64,Films!$A$2:$A$100,0))+1,""))</f>
        <v>11</v>
      </c>
      <c r="E64" s="10" t="n">
        <v>3.55</v>
      </c>
      <c r="F64" s="7" t="s">
        <v>34</v>
      </c>
      <c r="G64" s="7" t="s">
        <v>40</v>
      </c>
      <c r="H64" s="7" t="s">
        <v>41</v>
      </c>
      <c r="I64" s="7" t="s">
        <v>42</v>
      </c>
      <c r="J64" s="9" t="n">
        <f aca="false">IF(B64="","",COUNTIFS($B$2:$B$500,B64,$C$2:$C$500,C64,$F$2:$F$500,F64,$H$2:$H$500,"Trade estimate"))</f>
        <v>2</v>
      </c>
      <c r="K64" s="11" t="n">
        <f aca="false">IF(OR(J64="",J64=0),"",_xlfn.MAXIFS($E$2:$E$500,$B$2:$B$500,B64,$C$2:$C$500,C64,$F$2:$F$500,F64,$H$2:$H$500,"Trade estimate"))</f>
        <v>3.2</v>
      </c>
      <c r="L64" s="11" t="n">
        <f aca="false">IF(OR(J64="",J64=0),"",_xlfn.MINIFS($E$2:$E$500,$B$2:$B$500,B64,$C$2:$C$500,C64,$F$2:$F$500,F64,$H$2:$H$500,"Trade estimate"))</f>
        <v>3.05</v>
      </c>
      <c r="M64" s="12" t="n">
        <f aca="false">IF(OR(J64="",J64&lt;2),"",IF(L64=0,"",(K64-L64)/L64))</f>
        <v>0.0491803278688526</v>
      </c>
      <c r="N64" s="13" t="str">
        <f aca="false">IF(B64="","",IF(J64&lt;2,"Needs 2+ trade sources",IF(M64&gt;Lists!$E$2,"CHECK","OK")))</f>
        <v>OK</v>
      </c>
      <c r="O64" s="9" t="str">
        <f aca="false">IF(B64="","",IF(J64&lt;2,"Needs 2+ trade sources",IF(M64&lt;=Lists!$E$6,"Good",IF(M64&lt;=Lists!$E$2,"Moderate","Bad"))))</f>
        <v>Good</v>
      </c>
    </row>
    <row r="65" customFormat="false" ht="14.25" hidden="false" customHeight="true" outlineLevel="0" collapsed="false">
      <c r="A65" s="6" t="n">
        <v>46311.875</v>
      </c>
      <c r="B65" s="7" t="s">
        <v>45</v>
      </c>
      <c r="C65" s="8" t="n">
        <v>46307</v>
      </c>
      <c r="D65" s="9" t="n">
        <f aca="false">IF(OR(B65="",C65=""),"",IFERROR(C65-INDEX(Films!$C$2:$C$100,MATCH(B65,Films!$A$2:$A$100,0))+1,""))</f>
        <v>12</v>
      </c>
      <c r="E65" s="10" t="n">
        <v>1.2</v>
      </c>
      <c r="F65" s="7" t="s">
        <v>34</v>
      </c>
      <c r="G65" s="7" t="s">
        <v>35</v>
      </c>
      <c r="H65" s="7" t="s">
        <v>36</v>
      </c>
      <c r="I65" s="7" t="s">
        <v>37</v>
      </c>
      <c r="J65" s="9" t="n">
        <f aca="false">IF(B65="","",COUNTIFS($B$2:$B$500,B65,$C$2:$C$500,C65,$F$2:$F$500,F65,$H$2:$H$500,"Trade estimate"))</f>
        <v>2</v>
      </c>
      <c r="K65" s="11" t="n">
        <f aca="false">IF(OR(J65="",J65=0),"",_xlfn.MAXIFS($E$2:$E$500,$B$2:$B$500,B65,$C$2:$C$500,C65,$F$2:$F$500,F65,$H$2:$H$500,"Trade estimate"))</f>
        <v>1.2</v>
      </c>
      <c r="L65" s="11" t="n">
        <f aca="false">IF(OR(J65="",J65=0),"",_xlfn.MINIFS($E$2:$E$500,$B$2:$B$500,B65,$C$2:$C$500,C65,$F$2:$F$500,F65,$H$2:$H$500,"Trade estimate"))</f>
        <v>1.12</v>
      </c>
      <c r="M65" s="12" t="n">
        <f aca="false">IF(OR(J65="",J65&lt;2),"",IF(L65=0,"",(K65-L65)/L65))</f>
        <v>0.0714285714285713</v>
      </c>
      <c r="N65" s="13" t="str">
        <f aca="false">IF(B65="","",IF(J65&lt;2,"Needs 2+ trade sources",IF(M65&gt;Lists!$E$2,"CHECK","OK")))</f>
        <v>OK</v>
      </c>
      <c r="O65" s="9" t="str">
        <f aca="false">IF(B65="","",IF(J65&lt;2,"Needs 2+ trade sources",IF(M65&lt;=Lists!$E$6,"Good",IF(M65&lt;=Lists!$E$2,"Moderate","Bad"))))</f>
        <v>Moderate</v>
      </c>
    </row>
    <row r="66" customFormat="false" ht="14.25" hidden="false" customHeight="true" outlineLevel="0" collapsed="false">
      <c r="A66" s="6" t="n">
        <v>46311.875</v>
      </c>
      <c r="B66" s="7" t="s">
        <v>45</v>
      </c>
      <c r="C66" s="8" t="n">
        <v>46307</v>
      </c>
      <c r="D66" s="9" t="n">
        <f aca="false">IF(OR(B66="",C66=""),"",IFERROR(C66-INDEX(Films!$C$2:$C$100,MATCH(B66,Films!$A$2:$A$100,0))+1,""))</f>
        <v>12</v>
      </c>
      <c r="E66" s="10" t="n">
        <v>1.12</v>
      </c>
      <c r="F66" s="7" t="s">
        <v>34</v>
      </c>
      <c r="G66" s="7" t="s">
        <v>39</v>
      </c>
      <c r="H66" s="7" t="s">
        <v>36</v>
      </c>
      <c r="I66" s="7" t="s">
        <v>37</v>
      </c>
      <c r="J66" s="9" t="n">
        <f aca="false">IF(B66="","",COUNTIFS($B$2:$B$500,B66,$C$2:$C$500,C66,$F$2:$F$500,F66,$H$2:$H$500,"Trade estimate"))</f>
        <v>2</v>
      </c>
      <c r="K66" s="11" t="n">
        <f aca="false">IF(OR(J66="",J66=0),"",_xlfn.MAXIFS($E$2:$E$500,$B$2:$B$500,B66,$C$2:$C$500,C66,$F$2:$F$500,F66,$H$2:$H$500,"Trade estimate"))</f>
        <v>1.2</v>
      </c>
      <c r="L66" s="11" t="n">
        <f aca="false">IF(OR(J66="",J66=0),"",_xlfn.MINIFS($E$2:$E$500,$B$2:$B$500,B66,$C$2:$C$500,C66,$F$2:$F$500,F66,$H$2:$H$500,"Trade estimate"))</f>
        <v>1.12</v>
      </c>
      <c r="M66" s="12" t="n">
        <f aca="false">IF(OR(J66="",J66&lt;2),"",IF(L66=0,"",(K66-L66)/L66))</f>
        <v>0.0714285714285713</v>
      </c>
      <c r="N66" s="13" t="str">
        <f aca="false">IF(B66="","",IF(J66&lt;2,"Needs 2+ trade sources",IF(M66&gt;Lists!$E$2,"CHECK","OK")))</f>
        <v>OK</v>
      </c>
      <c r="O66" s="9" t="str">
        <f aca="false">IF(B66="","",IF(J66&lt;2,"Needs 2+ trade sources",IF(M66&lt;=Lists!$E$6,"Good",IF(M66&lt;=Lists!$E$2,"Moderate","Bad"))))</f>
        <v>Moderate</v>
      </c>
    </row>
    <row r="67" customFormat="false" ht="14.25" hidden="false" customHeight="true" outlineLevel="0" collapsed="false">
      <c r="A67" s="6" t="n">
        <v>46311.875</v>
      </c>
      <c r="B67" s="7" t="s">
        <v>45</v>
      </c>
      <c r="C67" s="8" t="n">
        <v>46307</v>
      </c>
      <c r="D67" s="9" t="n">
        <f aca="false">IF(OR(B67="",C67=""),"",IFERROR(C67-INDEX(Films!$C$2:$C$100,MATCH(B67,Films!$A$2:$A$100,0))+1,""))</f>
        <v>12</v>
      </c>
      <c r="E67" s="10" t="n">
        <v>1.35</v>
      </c>
      <c r="F67" s="7" t="s">
        <v>34</v>
      </c>
      <c r="G67" s="7" t="s">
        <v>40</v>
      </c>
      <c r="H67" s="7" t="s">
        <v>41</v>
      </c>
      <c r="I67" s="7" t="s">
        <v>42</v>
      </c>
      <c r="J67" s="9" t="n">
        <f aca="false">IF(B67="","",COUNTIFS($B$2:$B$500,B67,$C$2:$C$500,C67,$F$2:$F$500,F67,$H$2:$H$500,"Trade estimate"))</f>
        <v>2</v>
      </c>
      <c r="K67" s="11" t="n">
        <f aca="false">IF(OR(J67="",J67=0),"",_xlfn.MAXIFS($E$2:$E$500,$B$2:$B$500,B67,$C$2:$C$500,C67,$F$2:$F$500,F67,$H$2:$H$500,"Trade estimate"))</f>
        <v>1.2</v>
      </c>
      <c r="L67" s="11" t="n">
        <f aca="false">IF(OR(J67="",J67=0),"",_xlfn.MINIFS($E$2:$E$500,$B$2:$B$500,B67,$C$2:$C$500,C67,$F$2:$F$500,F67,$H$2:$H$500,"Trade estimate"))</f>
        <v>1.12</v>
      </c>
      <c r="M67" s="12" t="n">
        <f aca="false">IF(OR(J67="",J67&lt;2),"",IF(L67=0,"",(K67-L67)/L67))</f>
        <v>0.0714285714285713</v>
      </c>
      <c r="N67" s="13" t="str">
        <f aca="false">IF(B67="","",IF(J67&lt;2,"Needs 2+ trade sources",IF(M67&gt;Lists!$E$2,"CHECK","OK")))</f>
        <v>OK</v>
      </c>
      <c r="O67" s="9" t="str">
        <f aca="false">IF(B67="","",IF(J67&lt;2,"Needs 2+ trade sources",IF(M67&lt;=Lists!$E$6,"Good",IF(M67&lt;=Lists!$E$2,"Moderate","Bad"))))</f>
        <v>Moderate</v>
      </c>
    </row>
    <row r="68" customFormat="false" ht="14.25" hidden="false" customHeight="true" outlineLevel="0" collapsed="false">
      <c r="A68" s="6" t="n">
        <v>46311.875</v>
      </c>
      <c r="B68" s="7" t="s">
        <v>45</v>
      </c>
      <c r="C68" s="8" t="n">
        <v>46308</v>
      </c>
      <c r="D68" s="9" t="n">
        <f aca="false">IF(OR(B68="",C68=""),"",IFERROR(C68-INDEX(Films!$C$2:$C$100,MATCH(B68,Films!$A$2:$A$100,0))+1,""))</f>
        <v>13</v>
      </c>
      <c r="E68" s="10" t="n">
        <v>1.15</v>
      </c>
      <c r="F68" s="7" t="s">
        <v>34</v>
      </c>
      <c r="G68" s="7" t="s">
        <v>35</v>
      </c>
      <c r="H68" s="7" t="s">
        <v>36</v>
      </c>
      <c r="I68" s="7" t="s">
        <v>37</v>
      </c>
      <c r="J68" s="9" t="n">
        <f aca="false">IF(B68="","",COUNTIFS($B$2:$B$500,B68,$C$2:$C$500,C68,$F$2:$F$500,F68,$H$2:$H$500,"Trade estimate"))</f>
        <v>2</v>
      </c>
      <c r="K68" s="11" t="n">
        <f aca="false">IF(OR(J68="",J68=0),"",_xlfn.MAXIFS($E$2:$E$500,$B$2:$B$500,B68,$C$2:$C$500,C68,$F$2:$F$500,F68,$H$2:$H$500,"Trade estimate"))</f>
        <v>1.15</v>
      </c>
      <c r="L68" s="11" t="n">
        <f aca="false">IF(OR(J68="",J68=0),"",_xlfn.MINIFS($E$2:$E$500,$B$2:$B$500,B68,$C$2:$C$500,C68,$F$2:$F$500,F68,$H$2:$H$500,"Trade estimate"))</f>
        <v>1.08</v>
      </c>
      <c r="M68" s="12" t="n">
        <f aca="false">IF(OR(J68="",J68&lt;2),"",IF(L68=0,"",(K68-L68)/L68))</f>
        <v>0.0648148148148147</v>
      </c>
      <c r="N68" s="13" t="str">
        <f aca="false">IF(B68="","",IF(J68&lt;2,"Needs 2+ trade sources",IF(M68&gt;Lists!$E$2,"CHECK","OK")))</f>
        <v>OK</v>
      </c>
      <c r="O68" s="9" t="str">
        <f aca="false">IF(B68="","",IF(J68&lt;2,"Needs 2+ trade sources",IF(M68&lt;=Lists!$E$6,"Good",IF(M68&lt;=Lists!$E$2,"Moderate","Bad"))))</f>
        <v>Moderate</v>
      </c>
    </row>
    <row r="69" customFormat="false" ht="14.25" hidden="false" customHeight="true" outlineLevel="0" collapsed="false">
      <c r="A69" s="6" t="n">
        <v>46311.875</v>
      </c>
      <c r="B69" s="7" t="s">
        <v>45</v>
      </c>
      <c r="C69" s="8" t="n">
        <v>46308</v>
      </c>
      <c r="D69" s="9" t="n">
        <f aca="false">IF(OR(B69="",C69=""),"",IFERROR(C69-INDEX(Films!$C$2:$C$100,MATCH(B69,Films!$A$2:$A$100,0))+1,""))</f>
        <v>13</v>
      </c>
      <c r="E69" s="10" t="n">
        <v>1.08</v>
      </c>
      <c r="F69" s="7" t="s">
        <v>34</v>
      </c>
      <c r="G69" s="7" t="s">
        <v>39</v>
      </c>
      <c r="H69" s="7" t="s">
        <v>36</v>
      </c>
      <c r="I69" s="7" t="s">
        <v>37</v>
      </c>
      <c r="J69" s="9" t="n">
        <f aca="false">IF(B69="","",COUNTIFS($B$2:$B$500,B69,$C$2:$C$500,C69,$F$2:$F$500,F69,$H$2:$H$500,"Trade estimate"))</f>
        <v>2</v>
      </c>
      <c r="K69" s="11" t="n">
        <f aca="false">IF(OR(J69="",J69=0),"",_xlfn.MAXIFS($E$2:$E$500,$B$2:$B$500,B69,$C$2:$C$500,C69,$F$2:$F$500,F69,$H$2:$H$500,"Trade estimate"))</f>
        <v>1.15</v>
      </c>
      <c r="L69" s="11" t="n">
        <f aca="false">IF(OR(J69="",J69=0),"",_xlfn.MINIFS($E$2:$E$500,$B$2:$B$500,B69,$C$2:$C$500,C69,$F$2:$F$500,F69,$H$2:$H$500,"Trade estimate"))</f>
        <v>1.08</v>
      </c>
      <c r="M69" s="12" t="n">
        <f aca="false">IF(OR(J69="",J69&lt;2),"",IF(L69=0,"",(K69-L69)/L69))</f>
        <v>0.0648148148148147</v>
      </c>
      <c r="N69" s="13" t="str">
        <f aca="false">IF(B69="","",IF(J69&lt;2,"Needs 2+ trade sources",IF(M69&gt;Lists!$E$2,"CHECK","OK")))</f>
        <v>OK</v>
      </c>
      <c r="O69" s="9" t="str">
        <f aca="false">IF(B69="","",IF(J69&lt;2,"Needs 2+ trade sources",IF(M69&lt;=Lists!$E$6,"Good",IF(M69&lt;=Lists!$E$2,"Moderate","Bad"))))</f>
        <v>Moderate</v>
      </c>
    </row>
    <row r="70" customFormat="false" ht="14.25" hidden="false" customHeight="true" outlineLevel="0" collapsed="false">
      <c r="A70" s="6" t="n">
        <v>46311.875</v>
      </c>
      <c r="B70" s="7" t="s">
        <v>45</v>
      </c>
      <c r="C70" s="8" t="n">
        <v>46308</v>
      </c>
      <c r="D70" s="9" t="n">
        <f aca="false">IF(OR(B70="",C70=""),"",IFERROR(C70-INDEX(Films!$C$2:$C$100,MATCH(B70,Films!$A$2:$A$100,0))+1,""))</f>
        <v>13</v>
      </c>
      <c r="E70" s="10" t="n">
        <v>1.3</v>
      </c>
      <c r="F70" s="7" t="s">
        <v>34</v>
      </c>
      <c r="G70" s="7" t="s">
        <v>40</v>
      </c>
      <c r="H70" s="7" t="s">
        <v>41</v>
      </c>
      <c r="I70" s="7" t="s">
        <v>42</v>
      </c>
      <c r="J70" s="9" t="n">
        <f aca="false">IF(B70="","",COUNTIFS($B$2:$B$500,B70,$C$2:$C$500,C70,$F$2:$F$500,F70,$H$2:$H$500,"Trade estimate"))</f>
        <v>2</v>
      </c>
      <c r="K70" s="11" t="n">
        <f aca="false">IF(OR(J70="",J70=0),"",_xlfn.MAXIFS($E$2:$E$500,$B$2:$B$500,B70,$C$2:$C$500,C70,$F$2:$F$500,F70,$H$2:$H$500,"Trade estimate"))</f>
        <v>1.15</v>
      </c>
      <c r="L70" s="11" t="n">
        <f aca="false">IF(OR(J70="",J70=0),"",_xlfn.MINIFS($E$2:$E$500,$B$2:$B$500,B70,$C$2:$C$500,C70,$F$2:$F$500,F70,$H$2:$H$500,"Trade estimate"))</f>
        <v>1.08</v>
      </c>
      <c r="M70" s="12" t="n">
        <f aca="false">IF(OR(J70="",J70&lt;2),"",IF(L70=0,"",(K70-L70)/L70))</f>
        <v>0.0648148148148147</v>
      </c>
      <c r="N70" s="13" t="str">
        <f aca="false">IF(B70="","",IF(J70&lt;2,"Needs 2+ trade sources",IF(M70&gt;Lists!$E$2,"CHECK","OK")))</f>
        <v>OK</v>
      </c>
      <c r="O70" s="9" t="str">
        <f aca="false">IF(B70="","",IF(J70&lt;2,"Needs 2+ trade sources",IF(M70&lt;=Lists!$E$6,"Good",IF(M70&lt;=Lists!$E$2,"Moderate","Bad"))))</f>
        <v>Moderate</v>
      </c>
    </row>
    <row r="71" customFormat="false" ht="14.25" hidden="false" customHeight="true" outlineLevel="0" collapsed="false">
      <c r="A71" s="6" t="n">
        <v>46311.875</v>
      </c>
      <c r="B71" s="7" t="s">
        <v>45</v>
      </c>
      <c r="C71" s="8" t="n">
        <v>46309</v>
      </c>
      <c r="D71" s="9" t="n">
        <f aca="false">IF(OR(B71="",C71=""),"",IFERROR(C71-INDEX(Films!$C$2:$C$100,MATCH(B71,Films!$A$2:$A$100,0))+1,""))</f>
        <v>14</v>
      </c>
      <c r="E71" s="10" t="n">
        <v>1.02</v>
      </c>
      <c r="F71" s="7" t="s">
        <v>34</v>
      </c>
      <c r="G71" s="7" t="s">
        <v>35</v>
      </c>
      <c r="H71" s="7" t="s">
        <v>36</v>
      </c>
      <c r="I71" s="7" t="s">
        <v>37</v>
      </c>
      <c r="J71" s="9" t="n">
        <f aca="false">IF(B71="","",COUNTIFS($B$2:$B$500,B71,$C$2:$C$500,C71,$F$2:$F$500,F71,$H$2:$H$500,"Trade estimate"))</f>
        <v>2</v>
      </c>
      <c r="K71" s="11" t="n">
        <f aca="false">IF(OR(J71="",J71=0),"",_xlfn.MAXIFS($E$2:$E$500,$B$2:$B$500,B71,$C$2:$C$500,C71,$F$2:$F$500,F71,$H$2:$H$500,"Trade estimate"))</f>
        <v>1.02</v>
      </c>
      <c r="L71" s="11" t="n">
        <f aca="false">IF(OR(J71="",J71=0),"",_xlfn.MINIFS($E$2:$E$500,$B$2:$B$500,B71,$C$2:$C$500,C71,$F$2:$F$500,F71,$H$2:$H$500,"Trade estimate"))</f>
        <v>0.96</v>
      </c>
      <c r="M71" s="12" t="n">
        <f aca="false">IF(OR(J71="",J71&lt;2),"",IF(L71=0,"",(K71-L71)/L71))</f>
        <v>0.0625000000000001</v>
      </c>
      <c r="N71" s="13" t="str">
        <f aca="false">IF(B71="","",IF(J71&lt;2,"Needs 2+ trade sources",IF(M71&gt;Lists!$E$2,"CHECK","OK")))</f>
        <v>OK</v>
      </c>
      <c r="O71" s="9" t="str">
        <f aca="false">IF(B71="","",IF(J71&lt;2,"Needs 2+ trade sources",IF(M71&lt;=Lists!$E$6,"Good",IF(M71&lt;=Lists!$E$2,"Moderate","Bad"))))</f>
        <v>Moderate</v>
      </c>
    </row>
    <row r="72" customFormat="false" ht="14.25" hidden="false" customHeight="true" outlineLevel="0" collapsed="false">
      <c r="A72" s="6" t="n">
        <v>46311.875</v>
      </c>
      <c r="B72" s="7" t="s">
        <v>45</v>
      </c>
      <c r="C72" s="8" t="n">
        <v>46309</v>
      </c>
      <c r="D72" s="9" t="n">
        <f aca="false">IF(OR(B72="",C72=""),"",IFERROR(C72-INDEX(Films!$C$2:$C$100,MATCH(B72,Films!$A$2:$A$100,0))+1,""))</f>
        <v>14</v>
      </c>
      <c r="E72" s="10" t="n">
        <v>0.96</v>
      </c>
      <c r="F72" s="7" t="s">
        <v>34</v>
      </c>
      <c r="G72" s="7" t="s">
        <v>39</v>
      </c>
      <c r="H72" s="7" t="s">
        <v>36</v>
      </c>
      <c r="I72" s="7" t="s">
        <v>37</v>
      </c>
      <c r="J72" s="9" t="n">
        <f aca="false">IF(B72="","",COUNTIFS($B$2:$B$500,B72,$C$2:$C$500,C72,$F$2:$F$500,F72,$H$2:$H$500,"Trade estimate"))</f>
        <v>2</v>
      </c>
      <c r="K72" s="11" t="n">
        <f aca="false">IF(OR(J72="",J72=0),"",_xlfn.MAXIFS($E$2:$E$500,$B$2:$B$500,B72,$C$2:$C$500,C72,$F$2:$F$500,F72,$H$2:$H$500,"Trade estimate"))</f>
        <v>1.02</v>
      </c>
      <c r="L72" s="11" t="n">
        <f aca="false">IF(OR(J72="",J72=0),"",_xlfn.MINIFS($E$2:$E$500,$B$2:$B$500,B72,$C$2:$C$500,C72,$F$2:$F$500,F72,$H$2:$H$500,"Trade estimate"))</f>
        <v>0.96</v>
      </c>
      <c r="M72" s="12" t="n">
        <f aca="false">IF(OR(J72="",J72&lt;2),"",IF(L72=0,"",(K72-L72)/L72))</f>
        <v>0.0625000000000001</v>
      </c>
      <c r="N72" s="13" t="str">
        <f aca="false">IF(B72="","",IF(J72&lt;2,"Needs 2+ trade sources",IF(M72&gt;Lists!$E$2,"CHECK","OK")))</f>
        <v>OK</v>
      </c>
      <c r="O72" s="9" t="str">
        <f aca="false">IF(B72="","",IF(J72&lt;2,"Needs 2+ trade sources",IF(M72&lt;=Lists!$E$6,"Good",IF(M72&lt;=Lists!$E$2,"Moderate","Bad"))))</f>
        <v>Moderate</v>
      </c>
    </row>
    <row r="73" customFormat="false" ht="14.25" hidden="false" customHeight="true" outlineLevel="0" collapsed="false">
      <c r="A73" s="6" t="n">
        <v>46311.875</v>
      </c>
      <c r="B73" s="7" t="s">
        <v>45</v>
      </c>
      <c r="C73" s="8" t="n">
        <v>46309</v>
      </c>
      <c r="D73" s="9" t="n">
        <f aca="false">IF(OR(B73="",C73=""),"",IFERROR(C73-INDEX(Films!$C$2:$C$100,MATCH(B73,Films!$A$2:$A$100,0))+1,""))</f>
        <v>14</v>
      </c>
      <c r="E73" s="10" t="n">
        <v>1.15</v>
      </c>
      <c r="F73" s="7" t="s">
        <v>34</v>
      </c>
      <c r="G73" s="7" t="s">
        <v>40</v>
      </c>
      <c r="H73" s="7" t="s">
        <v>41</v>
      </c>
      <c r="I73" s="7" t="s">
        <v>42</v>
      </c>
      <c r="J73" s="9" t="n">
        <f aca="false">IF(B73="","",COUNTIFS($B$2:$B$500,B73,$C$2:$C$500,C73,$F$2:$F$500,F73,$H$2:$H$500,"Trade estimate"))</f>
        <v>2</v>
      </c>
      <c r="K73" s="11" t="n">
        <f aca="false">IF(OR(J73="",J73=0),"",_xlfn.MAXIFS($E$2:$E$500,$B$2:$B$500,B73,$C$2:$C$500,C73,$F$2:$F$500,F73,$H$2:$H$500,"Trade estimate"))</f>
        <v>1.02</v>
      </c>
      <c r="L73" s="11" t="n">
        <f aca="false">IF(OR(J73="",J73=0),"",_xlfn.MINIFS($E$2:$E$500,$B$2:$B$500,B73,$C$2:$C$500,C73,$F$2:$F$500,F73,$H$2:$H$500,"Trade estimate"))</f>
        <v>0.96</v>
      </c>
      <c r="M73" s="12" t="n">
        <f aca="false">IF(OR(J73="",J73&lt;2),"",IF(L73=0,"",(K73-L73)/L73))</f>
        <v>0.0625000000000001</v>
      </c>
      <c r="N73" s="13" t="str">
        <f aca="false">IF(B73="","",IF(J73&lt;2,"Needs 2+ trade sources",IF(M73&gt;Lists!$E$2,"CHECK","OK")))</f>
        <v>OK</v>
      </c>
      <c r="O73" s="9" t="str">
        <f aca="false">IF(B73="","",IF(J73&lt;2,"Needs 2+ trade sources",IF(M73&lt;=Lists!$E$6,"Good",IF(M73&lt;=Lists!$E$2,"Moderate","Bad"))))</f>
        <v>Moderate</v>
      </c>
    </row>
    <row r="74" customFormat="false" ht="14.25" hidden="false" customHeight="true" outlineLevel="0" collapsed="false">
      <c r="A74" s="6" t="n">
        <v>46311.875</v>
      </c>
      <c r="B74" s="7" t="s">
        <v>45</v>
      </c>
      <c r="C74" s="8" t="n">
        <v>46310</v>
      </c>
      <c r="D74" s="9" t="n">
        <f aca="false">IF(OR(B74="",C74=""),"",IFERROR(C74-INDEX(Films!$C$2:$C$100,MATCH(B74,Films!$A$2:$A$100,0))+1,""))</f>
        <v>15</v>
      </c>
      <c r="E74" s="10" t="n">
        <v>0.85</v>
      </c>
      <c r="F74" s="7" t="s">
        <v>34</v>
      </c>
      <c r="G74" s="7" t="s">
        <v>35</v>
      </c>
      <c r="H74" s="7" t="s">
        <v>36</v>
      </c>
      <c r="I74" s="7" t="s">
        <v>37</v>
      </c>
      <c r="J74" s="9" t="n">
        <f aca="false">IF(B74="","",COUNTIFS($B$2:$B$500,B74,$C$2:$C$500,C74,$F$2:$F$500,F74,$H$2:$H$500,"Trade estimate"))</f>
        <v>2</v>
      </c>
      <c r="K74" s="11" t="n">
        <f aca="false">IF(OR(J74="",J74=0),"",_xlfn.MAXIFS($E$2:$E$500,$B$2:$B$500,B74,$C$2:$C$500,C74,$F$2:$F$500,F74,$H$2:$H$500,"Trade estimate"))</f>
        <v>0.85</v>
      </c>
      <c r="L74" s="11" t="n">
        <f aca="false">IF(OR(J74="",J74=0),"",_xlfn.MINIFS($E$2:$E$500,$B$2:$B$500,B74,$C$2:$C$500,C74,$F$2:$F$500,F74,$H$2:$H$500,"Trade estimate"))</f>
        <v>0.8</v>
      </c>
      <c r="M74" s="12" t="n">
        <f aca="false">IF(OR(J74="",J74&lt;2),"",IF(L74=0,"",(K74-L74)/L74))</f>
        <v>0.0624999999999999</v>
      </c>
      <c r="N74" s="13" t="str">
        <f aca="false">IF(B74="","",IF(J74&lt;2,"Needs 2+ trade sources",IF(M74&gt;Lists!$E$2,"CHECK","OK")))</f>
        <v>OK</v>
      </c>
      <c r="O74" s="9" t="str">
        <f aca="false">IF(B74="","",IF(J74&lt;2,"Needs 2+ trade sources",IF(M74&lt;=Lists!$E$6,"Good",IF(M74&lt;=Lists!$E$2,"Moderate","Bad"))))</f>
        <v>Moderate</v>
      </c>
    </row>
    <row r="75" customFormat="false" ht="14.25" hidden="false" customHeight="true" outlineLevel="0" collapsed="false">
      <c r="A75" s="6" t="n">
        <v>46311.875</v>
      </c>
      <c r="B75" s="7" t="s">
        <v>45</v>
      </c>
      <c r="C75" s="8" t="n">
        <v>46310</v>
      </c>
      <c r="D75" s="9" t="n">
        <f aca="false">IF(OR(B75="",C75=""),"",IFERROR(C75-INDEX(Films!$C$2:$C$100,MATCH(B75,Films!$A$2:$A$100,0))+1,""))</f>
        <v>15</v>
      </c>
      <c r="E75" s="10" t="n">
        <v>0.8</v>
      </c>
      <c r="F75" s="7" t="s">
        <v>34</v>
      </c>
      <c r="G75" s="7" t="s">
        <v>39</v>
      </c>
      <c r="H75" s="7" t="s">
        <v>36</v>
      </c>
      <c r="I75" s="7" t="s">
        <v>37</v>
      </c>
      <c r="J75" s="9" t="n">
        <f aca="false">IF(B75="","",COUNTIFS($B$2:$B$500,B75,$C$2:$C$500,C75,$F$2:$F$500,F75,$H$2:$H$500,"Trade estimate"))</f>
        <v>2</v>
      </c>
      <c r="K75" s="11" t="n">
        <f aca="false">IF(OR(J75="",J75=0),"",_xlfn.MAXIFS($E$2:$E$500,$B$2:$B$500,B75,$C$2:$C$500,C75,$F$2:$F$500,F75,$H$2:$H$500,"Trade estimate"))</f>
        <v>0.85</v>
      </c>
      <c r="L75" s="11" t="n">
        <f aca="false">IF(OR(J75="",J75=0),"",_xlfn.MINIFS($E$2:$E$500,$B$2:$B$500,B75,$C$2:$C$500,C75,$F$2:$F$500,F75,$H$2:$H$500,"Trade estimate"))</f>
        <v>0.8</v>
      </c>
      <c r="M75" s="12" t="n">
        <f aca="false">IF(OR(J75="",J75&lt;2),"",IF(L75=0,"",(K75-L75)/L75))</f>
        <v>0.0624999999999999</v>
      </c>
      <c r="N75" s="13" t="str">
        <f aca="false">IF(B75="","",IF(J75&lt;2,"Needs 2+ trade sources",IF(M75&gt;Lists!$E$2,"CHECK","OK")))</f>
        <v>OK</v>
      </c>
      <c r="O75" s="9" t="str">
        <f aca="false">IF(B75="","",IF(J75&lt;2,"Needs 2+ trade sources",IF(M75&lt;=Lists!$E$6,"Good",IF(M75&lt;=Lists!$E$2,"Moderate","Bad"))))</f>
        <v>Moderate</v>
      </c>
    </row>
    <row r="76" customFormat="false" ht="14.25" hidden="false" customHeight="true" outlineLevel="0" collapsed="false">
      <c r="A76" s="6" t="n">
        <v>46311.875</v>
      </c>
      <c r="B76" s="7" t="s">
        <v>45</v>
      </c>
      <c r="C76" s="8" t="n">
        <v>46310</v>
      </c>
      <c r="D76" s="9" t="n">
        <f aca="false">IF(OR(B76="",C76=""),"",IFERROR(C76-INDEX(Films!$C$2:$C$100,MATCH(B76,Films!$A$2:$A$100,0))+1,""))</f>
        <v>15</v>
      </c>
      <c r="E76" s="10" t="n">
        <v>0.95</v>
      </c>
      <c r="F76" s="7" t="s">
        <v>34</v>
      </c>
      <c r="G76" s="7" t="s">
        <v>40</v>
      </c>
      <c r="H76" s="7" t="s">
        <v>41</v>
      </c>
      <c r="I76" s="7" t="s">
        <v>42</v>
      </c>
      <c r="J76" s="9" t="n">
        <f aca="false">IF(B76="","",COUNTIFS($B$2:$B$500,B76,$C$2:$C$500,C76,$F$2:$F$500,F76,$H$2:$H$500,"Trade estimate"))</f>
        <v>2</v>
      </c>
      <c r="K76" s="11" t="n">
        <f aca="false">IF(OR(J76="",J76=0),"",_xlfn.MAXIFS($E$2:$E$500,$B$2:$B$500,B76,$C$2:$C$500,C76,$F$2:$F$500,F76,$H$2:$H$500,"Trade estimate"))</f>
        <v>0.85</v>
      </c>
      <c r="L76" s="11" t="n">
        <f aca="false">IF(OR(J76="",J76=0),"",_xlfn.MINIFS($E$2:$E$500,$B$2:$B$500,B76,$C$2:$C$500,C76,$F$2:$F$500,F76,$H$2:$H$500,"Trade estimate"))</f>
        <v>0.8</v>
      </c>
      <c r="M76" s="12" t="n">
        <f aca="false">IF(OR(J76="",J76&lt;2),"",IF(L76=0,"",(K76-L76)/L76))</f>
        <v>0.0624999999999999</v>
      </c>
      <c r="N76" s="13" t="str">
        <f aca="false">IF(B76="","",IF(J76&lt;2,"Needs 2+ trade sources",IF(M76&gt;Lists!$E$2,"CHECK","OK")))</f>
        <v>OK</v>
      </c>
      <c r="O76" s="9" t="str">
        <f aca="false">IF(B76="","",IF(J76&lt;2,"Needs 2+ trade sources",IF(M76&lt;=Lists!$E$6,"Good",IF(M76&lt;=Lists!$E$2,"Moderate","Bad"))))</f>
        <v>Moderate</v>
      </c>
    </row>
    <row r="77" customFormat="false" ht="14.25" hidden="false" customHeight="true" outlineLevel="0" collapsed="false">
      <c r="A77" s="6" t="n">
        <v>46311.875</v>
      </c>
      <c r="B77" s="7" t="s">
        <v>46</v>
      </c>
      <c r="C77" s="8" t="n">
        <v>46311</v>
      </c>
      <c r="D77" s="9" t="n">
        <f aca="false">IF(OR(B77="",C77=""),"",IFERROR(C77-INDEX(Films!$C$2:$C$100,MATCH(B77,Films!$A$2:$A$100,0))+1,""))</f>
        <v>1</v>
      </c>
      <c r="E77" s="10" t="n">
        <v>7.14</v>
      </c>
      <c r="F77" s="7" t="s">
        <v>34</v>
      </c>
      <c r="G77" s="7" t="s">
        <v>35</v>
      </c>
      <c r="H77" s="7" t="s">
        <v>36</v>
      </c>
      <c r="I77" s="7" t="s">
        <v>37</v>
      </c>
      <c r="J77" s="9" t="n">
        <f aca="false">IF(B77="","",COUNTIFS($B$2:$B$500,B77,$C$2:$C$500,C77,$F$2:$F$500,F77,$H$2:$H$500,"Trade estimate"))</f>
        <v>3</v>
      </c>
      <c r="K77" s="11" t="n">
        <f aca="false">IF(OR(J77="",J77=0),"",_xlfn.MAXIFS($E$2:$E$500,$B$2:$B$500,B77,$C$2:$C$500,C77,$F$2:$F$500,F77,$H$2:$H$500,"Trade estimate"))</f>
        <v>7.14</v>
      </c>
      <c r="L77" s="11" t="n">
        <f aca="false">IF(OR(J77="",J77=0),"",_xlfn.MINIFS($E$2:$E$500,$B$2:$B$500,B77,$C$2:$C$500,C77,$F$2:$F$500,F77,$H$2:$H$500,"Trade estimate"))</f>
        <v>6.25</v>
      </c>
      <c r="M77" s="12" t="n">
        <f aca="false">IF(OR(J77="",J77&lt;2),"",IF(L77=0,"",(K77-L77)/L77))</f>
        <v>0.1424</v>
      </c>
      <c r="N77" s="13" t="str">
        <f aca="false">IF(B77="","",IF(J77&lt;2,"Needs 2+ trade sources",IF(M77&gt;Lists!$E$2,"CHECK","OK")))</f>
        <v>CHECK</v>
      </c>
      <c r="O77" s="9" t="str">
        <f aca="false">IF(B77="","",IF(J77&lt;2,"Needs 2+ trade sources",IF(M77&lt;=Lists!$E$6,"Good",IF(M77&lt;=Lists!$E$2,"Moderate","Bad"))))</f>
        <v>Bad</v>
      </c>
    </row>
    <row r="78" customFormat="false" ht="14.25" hidden="false" customHeight="true" outlineLevel="0" collapsed="false">
      <c r="A78" s="6" t="n">
        <v>46311.875</v>
      </c>
      <c r="B78" s="7" t="s">
        <v>46</v>
      </c>
      <c r="C78" s="8" t="n">
        <v>46311</v>
      </c>
      <c r="D78" s="9" t="n">
        <f aca="false">IF(OR(B78="",C78=""),"",IFERROR(C78-INDEX(Films!$C$2:$C$100,MATCH(B78,Films!$A$2:$A$100,0))+1,""))</f>
        <v>1</v>
      </c>
      <c r="E78" s="10" t="n">
        <v>6.4</v>
      </c>
      <c r="F78" s="7" t="s">
        <v>34</v>
      </c>
      <c r="G78" s="7" t="s">
        <v>38</v>
      </c>
      <c r="H78" s="7" t="s">
        <v>36</v>
      </c>
      <c r="I78" s="7" t="s">
        <v>37</v>
      </c>
      <c r="J78" s="9" t="n">
        <f aca="false">IF(B78="","",COUNTIFS($B$2:$B$500,B78,$C$2:$C$500,C78,$F$2:$F$500,F78,$H$2:$H$500,"Trade estimate"))</f>
        <v>3</v>
      </c>
      <c r="K78" s="11" t="n">
        <f aca="false">IF(OR(J78="",J78=0),"",_xlfn.MAXIFS($E$2:$E$500,$B$2:$B$500,B78,$C$2:$C$500,C78,$F$2:$F$500,F78,$H$2:$H$500,"Trade estimate"))</f>
        <v>7.14</v>
      </c>
      <c r="L78" s="11" t="n">
        <f aca="false">IF(OR(J78="",J78=0),"",_xlfn.MINIFS($E$2:$E$500,$B$2:$B$500,B78,$C$2:$C$500,C78,$F$2:$F$500,F78,$H$2:$H$500,"Trade estimate"))</f>
        <v>6.25</v>
      </c>
      <c r="M78" s="12" t="n">
        <f aca="false">IF(OR(J78="",J78&lt;2),"",IF(L78=0,"",(K78-L78)/L78))</f>
        <v>0.1424</v>
      </c>
      <c r="N78" s="13" t="str">
        <f aca="false">IF(B78="","",IF(J78&lt;2,"Needs 2+ trade sources",IF(M78&gt;Lists!$E$2,"CHECK","OK")))</f>
        <v>CHECK</v>
      </c>
      <c r="O78" s="9" t="str">
        <f aca="false">IF(B78="","",IF(J78&lt;2,"Needs 2+ trade sources",IF(M78&lt;=Lists!$E$6,"Good",IF(M78&lt;=Lists!$E$2,"Moderate","Bad"))))</f>
        <v>Bad</v>
      </c>
    </row>
    <row r="79" customFormat="false" ht="14.25" hidden="false" customHeight="true" outlineLevel="0" collapsed="false">
      <c r="A79" s="6" t="n">
        <v>46311.875</v>
      </c>
      <c r="B79" s="7" t="s">
        <v>46</v>
      </c>
      <c r="C79" s="8" t="n">
        <v>46311</v>
      </c>
      <c r="D79" s="9" t="n">
        <f aca="false">IF(OR(B79="",C79=""),"",IFERROR(C79-INDEX(Films!$C$2:$C$100,MATCH(B79,Films!$A$2:$A$100,0))+1,""))</f>
        <v>1</v>
      </c>
      <c r="E79" s="10" t="n">
        <v>6.25</v>
      </c>
      <c r="F79" s="7" t="s">
        <v>34</v>
      </c>
      <c r="G79" s="7" t="s">
        <v>39</v>
      </c>
      <c r="H79" s="7" t="s">
        <v>36</v>
      </c>
      <c r="I79" s="7" t="s">
        <v>37</v>
      </c>
      <c r="J79" s="9" t="n">
        <f aca="false">IF(B79="","",COUNTIFS($B$2:$B$500,B79,$C$2:$C$500,C79,$F$2:$F$500,F79,$H$2:$H$500,"Trade estimate"))</f>
        <v>3</v>
      </c>
      <c r="K79" s="11" t="n">
        <f aca="false">IF(OR(J79="",J79=0),"",_xlfn.MAXIFS($E$2:$E$500,$B$2:$B$500,B79,$C$2:$C$500,C79,$F$2:$F$500,F79,$H$2:$H$500,"Trade estimate"))</f>
        <v>7.14</v>
      </c>
      <c r="L79" s="11" t="n">
        <f aca="false">IF(OR(J79="",J79=0),"",_xlfn.MINIFS($E$2:$E$500,$B$2:$B$500,B79,$C$2:$C$500,C79,$F$2:$F$500,F79,$H$2:$H$500,"Trade estimate"))</f>
        <v>6.25</v>
      </c>
      <c r="M79" s="12" t="n">
        <f aca="false">IF(OR(J79="",J79&lt;2),"",IF(L79=0,"",(K79-L79)/L79))</f>
        <v>0.1424</v>
      </c>
      <c r="N79" s="13" t="str">
        <f aca="false">IF(B79="","",IF(J79&lt;2,"Needs 2+ trade sources",IF(M79&gt;Lists!$E$2,"CHECK","OK")))</f>
        <v>CHECK</v>
      </c>
      <c r="O79" s="9" t="str">
        <f aca="false">IF(B79="","",IF(J79&lt;2,"Needs 2+ trade sources",IF(M79&lt;=Lists!$E$6,"Good",IF(M79&lt;=Lists!$E$2,"Moderate","Bad"))))</f>
        <v>Bad</v>
      </c>
    </row>
    <row r="80" customFormat="false" ht="14.25" hidden="false" customHeight="true" outlineLevel="0" collapsed="false">
      <c r="A80" s="6" t="n">
        <v>46311.875</v>
      </c>
      <c r="B80" s="7" t="s">
        <v>46</v>
      </c>
      <c r="C80" s="8" t="n">
        <v>46311</v>
      </c>
      <c r="D80" s="9" t="n">
        <f aca="false">IF(OR(B80="",C80=""),"",IFERROR(C80-INDEX(Films!$C$2:$C$100,MATCH(B80,Films!$A$2:$A$100,0))+1,""))</f>
        <v>1</v>
      </c>
      <c r="E80" s="10" t="n">
        <v>9.1</v>
      </c>
      <c r="F80" s="7" t="s">
        <v>34</v>
      </c>
      <c r="G80" s="7" t="s">
        <v>40</v>
      </c>
      <c r="H80" s="7" t="s">
        <v>41</v>
      </c>
      <c r="I80" s="7" t="s">
        <v>42</v>
      </c>
      <c r="J80" s="9" t="n">
        <f aca="false">IF(B80="","",COUNTIFS($B$2:$B$500,B80,$C$2:$C$500,C80,$F$2:$F$500,F80,$H$2:$H$500,"Trade estimate"))</f>
        <v>3</v>
      </c>
      <c r="K80" s="11" t="n">
        <f aca="false">IF(OR(J80="",J80=0),"",_xlfn.MAXIFS($E$2:$E$500,$B$2:$B$500,B80,$C$2:$C$500,C80,$F$2:$F$500,F80,$H$2:$H$500,"Trade estimate"))</f>
        <v>7.14</v>
      </c>
      <c r="L80" s="11" t="n">
        <f aca="false">IF(OR(J80="",J80=0),"",_xlfn.MINIFS($E$2:$E$500,$B$2:$B$500,B80,$C$2:$C$500,C80,$F$2:$F$500,F80,$H$2:$H$500,"Trade estimate"))</f>
        <v>6.25</v>
      </c>
      <c r="M80" s="12" t="n">
        <f aca="false">IF(OR(J80="",J80&lt;2),"",IF(L80=0,"",(K80-L80)/L80))</f>
        <v>0.1424</v>
      </c>
      <c r="N80" s="13" t="str">
        <f aca="false">IF(B80="","",IF(J80&lt;2,"Needs 2+ trade sources",IF(M80&gt;Lists!$E$2,"CHECK","OK")))</f>
        <v>CHECK</v>
      </c>
      <c r="O80" s="9" t="str">
        <f aca="false">IF(B80="","",IF(J80&lt;2,"Needs 2+ trade sources",IF(M80&lt;=Lists!$E$6,"Good",IF(M80&lt;=Lists!$E$2,"Moderate","Bad"))))</f>
        <v>Bad</v>
      </c>
    </row>
    <row r="81" customFormat="false" ht="14.25" hidden="false" customHeight="true" outlineLevel="0" collapsed="false">
      <c r="A81" s="6" t="n">
        <v>46311.875</v>
      </c>
      <c r="B81" s="7" t="s">
        <v>47</v>
      </c>
      <c r="C81" s="8" t="n">
        <v>46305</v>
      </c>
      <c r="D81" s="9" t="n">
        <f aca="false">IF(OR(B81="",C81=""),"",IFERROR(C81-INDEX(Films!$C$2:$C$100,MATCH(B81,Films!$A$2:$A$100,0))+1,""))</f>
        <v>16</v>
      </c>
      <c r="E81" s="10" t="n">
        <v>1.4</v>
      </c>
      <c r="F81" s="7" t="s">
        <v>34</v>
      </c>
      <c r="G81" s="7" t="s">
        <v>35</v>
      </c>
      <c r="H81" s="7" t="s">
        <v>36</v>
      </c>
      <c r="I81" s="7" t="s">
        <v>37</v>
      </c>
      <c r="J81" s="9" t="n">
        <f aca="false">IF(B81="","",COUNTIFS($B$2:$B$500,B81,$C$2:$C$500,C81,$F$2:$F$500,F81,$H$2:$H$500,"Trade estimate"))</f>
        <v>3</v>
      </c>
      <c r="K81" s="11" t="n">
        <f aca="false">IF(OR(J81="",J81=0),"",_xlfn.MAXIFS($E$2:$E$500,$B$2:$B$500,B81,$C$2:$C$500,C81,$F$2:$F$500,F81,$H$2:$H$500,"Trade estimate"))</f>
        <v>1.4</v>
      </c>
      <c r="L81" s="11" t="n">
        <f aca="false">IF(OR(J81="",J81=0),"",_xlfn.MINIFS($E$2:$E$500,$B$2:$B$500,B81,$C$2:$C$500,C81,$F$2:$F$500,F81,$H$2:$H$500,"Trade estimate"))</f>
        <v>1.32</v>
      </c>
      <c r="M81" s="12" t="n">
        <f aca="false">IF(OR(J81="",J81&lt;2),"",IF(L81=0,"",(K81-L81)/L81))</f>
        <v>0.0606060606060605</v>
      </c>
      <c r="N81" s="13" t="str">
        <f aca="false">IF(B81="","",IF(J81&lt;2,"Needs 2+ trade sources",IF(M81&gt;Lists!$E$2,"CHECK","OK")))</f>
        <v>OK</v>
      </c>
      <c r="O81" s="9" t="str">
        <f aca="false">IF(B81="","",IF(J81&lt;2,"Needs 2+ trade sources",IF(M81&lt;=Lists!$E$6,"Good",IF(M81&lt;=Lists!$E$2,"Moderate","Bad"))))</f>
        <v>Moderate</v>
      </c>
    </row>
    <row r="82" customFormat="false" ht="14.25" hidden="false" customHeight="true" outlineLevel="0" collapsed="false">
      <c r="A82" s="6" t="n">
        <v>46311.875</v>
      </c>
      <c r="B82" s="7" t="s">
        <v>47</v>
      </c>
      <c r="C82" s="8" t="n">
        <v>46305</v>
      </c>
      <c r="D82" s="9" t="n">
        <f aca="false">IF(OR(B82="",C82=""),"",IFERROR(C82-INDEX(Films!$C$2:$C$100,MATCH(B82,Films!$A$2:$A$100,0))+1,""))</f>
        <v>16</v>
      </c>
      <c r="E82" s="10" t="n">
        <v>1.32</v>
      </c>
      <c r="F82" s="7" t="s">
        <v>34</v>
      </c>
      <c r="G82" s="7" t="s">
        <v>38</v>
      </c>
      <c r="H82" s="7" t="s">
        <v>36</v>
      </c>
      <c r="I82" s="7" t="s">
        <v>37</v>
      </c>
      <c r="J82" s="9" t="n">
        <f aca="false">IF(B82="","",COUNTIFS($B$2:$B$500,B82,$C$2:$C$500,C82,$F$2:$F$500,F82,$H$2:$H$500,"Trade estimate"))</f>
        <v>3</v>
      </c>
      <c r="K82" s="11" t="n">
        <f aca="false">IF(OR(J82="",J82=0),"",_xlfn.MAXIFS($E$2:$E$500,$B$2:$B$500,B82,$C$2:$C$500,C82,$F$2:$F$500,F82,$H$2:$H$500,"Trade estimate"))</f>
        <v>1.4</v>
      </c>
      <c r="L82" s="11" t="n">
        <f aca="false">IF(OR(J82="",J82=0),"",_xlfn.MINIFS($E$2:$E$500,$B$2:$B$500,B82,$C$2:$C$500,C82,$F$2:$F$500,F82,$H$2:$H$500,"Trade estimate"))</f>
        <v>1.32</v>
      </c>
      <c r="M82" s="12" t="n">
        <f aca="false">IF(OR(J82="",J82&lt;2),"",IF(L82=0,"",(K82-L82)/L82))</f>
        <v>0.0606060606060605</v>
      </c>
      <c r="N82" s="13" t="str">
        <f aca="false">IF(B82="","",IF(J82&lt;2,"Needs 2+ trade sources",IF(M82&gt;Lists!$E$2,"CHECK","OK")))</f>
        <v>OK</v>
      </c>
      <c r="O82" s="9" t="str">
        <f aca="false">IF(B82="","",IF(J82&lt;2,"Needs 2+ trade sources",IF(M82&lt;=Lists!$E$6,"Good",IF(M82&lt;=Lists!$E$2,"Moderate","Bad"))))</f>
        <v>Moderate</v>
      </c>
    </row>
    <row r="83" customFormat="false" ht="14.25" hidden="false" customHeight="true" outlineLevel="0" collapsed="false">
      <c r="A83" s="6" t="n">
        <v>46311.875</v>
      </c>
      <c r="B83" s="7" t="s">
        <v>47</v>
      </c>
      <c r="C83" s="8" t="n">
        <v>46305</v>
      </c>
      <c r="D83" s="9" t="n">
        <f aca="false">IF(OR(B83="",C83=""),"",IFERROR(C83-INDEX(Films!$C$2:$C$100,MATCH(B83,Films!$A$2:$A$100,0))+1,""))</f>
        <v>16</v>
      </c>
      <c r="E83" s="10" t="n">
        <v>1.35</v>
      </c>
      <c r="F83" s="7" t="s">
        <v>34</v>
      </c>
      <c r="G83" s="7" t="s">
        <v>39</v>
      </c>
      <c r="H83" s="7" t="s">
        <v>36</v>
      </c>
      <c r="I83" s="7" t="s">
        <v>37</v>
      </c>
      <c r="J83" s="9" t="n">
        <f aca="false">IF(B83="","",COUNTIFS($B$2:$B$500,B83,$C$2:$C$500,C83,$F$2:$F$500,F83,$H$2:$H$500,"Trade estimate"))</f>
        <v>3</v>
      </c>
      <c r="K83" s="11" t="n">
        <f aca="false">IF(OR(J83="",J83=0),"",_xlfn.MAXIFS($E$2:$E$500,$B$2:$B$500,B83,$C$2:$C$500,C83,$F$2:$F$500,F83,$H$2:$H$500,"Trade estimate"))</f>
        <v>1.4</v>
      </c>
      <c r="L83" s="11" t="n">
        <f aca="false">IF(OR(J83="",J83=0),"",_xlfn.MINIFS($E$2:$E$500,$B$2:$B$500,B83,$C$2:$C$500,C83,$F$2:$F$500,F83,$H$2:$H$500,"Trade estimate"))</f>
        <v>1.32</v>
      </c>
      <c r="M83" s="12" t="n">
        <f aca="false">IF(OR(J83="",J83&lt;2),"",IF(L83=0,"",(K83-L83)/L83))</f>
        <v>0.0606060606060605</v>
      </c>
      <c r="N83" s="13" t="str">
        <f aca="false">IF(B83="","",IF(J83&lt;2,"Needs 2+ trade sources",IF(M83&gt;Lists!$E$2,"CHECK","OK")))</f>
        <v>OK</v>
      </c>
      <c r="O83" s="9" t="str">
        <f aca="false">IF(B83="","",IF(J83&lt;2,"Needs 2+ trade sources",IF(M83&lt;=Lists!$E$6,"Good",IF(M83&lt;=Lists!$E$2,"Moderate","Bad"))))</f>
        <v>Moderate</v>
      </c>
    </row>
    <row r="84" customFormat="false" ht="14.25" hidden="false" customHeight="true" outlineLevel="0" collapsed="false">
      <c r="A84" s="6" t="n">
        <v>46311.875</v>
      </c>
      <c r="B84" s="7" t="s">
        <v>47</v>
      </c>
      <c r="C84" s="8" t="n">
        <v>46305</v>
      </c>
      <c r="D84" s="9" t="n">
        <f aca="false">IF(OR(B84="",C84=""),"",IFERROR(C84-INDEX(Films!$C$2:$C$100,MATCH(B84,Films!$A$2:$A$100,0))+1,""))</f>
        <v>16</v>
      </c>
      <c r="E84" s="10" t="n">
        <v>1.55</v>
      </c>
      <c r="F84" s="7" t="s">
        <v>34</v>
      </c>
      <c r="G84" s="7" t="s">
        <v>40</v>
      </c>
      <c r="H84" s="7" t="s">
        <v>41</v>
      </c>
      <c r="I84" s="7" t="s">
        <v>42</v>
      </c>
      <c r="J84" s="9" t="n">
        <f aca="false">IF(B84="","",COUNTIFS($B$2:$B$500,B84,$C$2:$C$500,C84,$F$2:$F$500,F84,$H$2:$H$500,"Trade estimate"))</f>
        <v>3</v>
      </c>
      <c r="K84" s="11" t="n">
        <f aca="false">IF(OR(J84="",J84=0),"",_xlfn.MAXIFS($E$2:$E$500,$B$2:$B$500,B84,$C$2:$C$500,C84,$F$2:$F$500,F84,$H$2:$H$500,"Trade estimate"))</f>
        <v>1.4</v>
      </c>
      <c r="L84" s="11" t="n">
        <f aca="false">IF(OR(J84="",J84=0),"",_xlfn.MINIFS($E$2:$E$500,$B$2:$B$500,B84,$C$2:$C$500,C84,$F$2:$F$500,F84,$H$2:$H$500,"Trade estimate"))</f>
        <v>1.32</v>
      </c>
      <c r="M84" s="12" t="n">
        <f aca="false">IF(OR(J84="",J84&lt;2),"",IF(L84=0,"",(K84-L84)/L84))</f>
        <v>0.0606060606060605</v>
      </c>
      <c r="N84" s="13" t="str">
        <f aca="false">IF(B84="","",IF(J84&lt;2,"Needs 2+ trade sources",IF(M84&gt;Lists!$E$2,"CHECK","OK")))</f>
        <v>OK</v>
      </c>
      <c r="O84" s="9" t="str">
        <f aca="false">IF(B84="","",IF(J84&lt;2,"Needs 2+ trade sources",IF(M84&lt;=Lists!$E$6,"Good",IF(M84&lt;=Lists!$E$2,"Moderate","Bad"))))</f>
        <v>Moderate</v>
      </c>
    </row>
    <row r="85" customFormat="false" ht="14.25" hidden="false" customHeight="true" outlineLevel="0" collapsed="false">
      <c r="A85" s="6" t="n">
        <v>46311.875</v>
      </c>
      <c r="B85" s="7" t="s">
        <v>47</v>
      </c>
      <c r="C85" s="8" t="n">
        <v>46306</v>
      </c>
      <c r="D85" s="9" t="n">
        <f aca="false">IF(OR(B85="",C85=""),"",IFERROR(C85-INDEX(Films!$C$2:$C$100,MATCH(B85,Films!$A$2:$A$100,0))+1,""))</f>
        <v>17</v>
      </c>
      <c r="E85" s="10" t="n">
        <v>1.85</v>
      </c>
      <c r="F85" s="7" t="s">
        <v>34</v>
      </c>
      <c r="G85" s="7" t="s">
        <v>35</v>
      </c>
      <c r="H85" s="7" t="s">
        <v>36</v>
      </c>
      <c r="I85" s="7" t="s">
        <v>37</v>
      </c>
      <c r="J85" s="9" t="n">
        <f aca="false">IF(B85="","",COUNTIFS($B$2:$B$500,B85,$C$2:$C$500,C85,$F$2:$F$500,F85,$H$2:$H$500,"Trade estimate"))</f>
        <v>3</v>
      </c>
      <c r="K85" s="11" t="n">
        <f aca="false">IF(OR(J85="",J85=0),"",_xlfn.MAXIFS($E$2:$E$500,$B$2:$B$500,B85,$C$2:$C$500,C85,$F$2:$F$500,F85,$H$2:$H$500,"Trade estimate"))</f>
        <v>1.85</v>
      </c>
      <c r="L85" s="11" t="n">
        <f aca="false">IF(OR(J85="",J85=0),"",_xlfn.MINIFS($E$2:$E$500,$B$2:$B$500,B85,$C$2:$C$500,C85,$F$2:$F$500,F85,$H$2:$H$500,"Trade estimate"))</f>
        <v>1.75</v>
      </c>
      <c r="M85" s="12" t="n">
        <f aca="false">IF(OR(J85="",J85&lt;2),"",IF(L85=0,"",(K85-L85)/L85))</f>
        <v>0.0571428571428572</v>
      </c>
      <c r="N85" s="13" t="str">
        <f aca="false">IF(B85="","",IF(J85&lt;2,"Needs 2+ trade sources",IF(M85&gt;Lists!$E$2,"CHECK","OK")))</f>
        <v>OK</v>
      </c>
      <c r="O85" s="9" t="str">
        <f aca="false">IF(B85="","",IF(J85&lt;2,"Needs 2+ trade sources",IF(M85&lt;=Lists!$E$6,"Good",IF(M85&lt;=Lists!$E$2,"Moderate","Bad"))))</f>
        <v>Moderate</v>
      </c>
    </row>
    <row r="86" customFormat="false" ht="14.25" hidden="false" customHeight="true" outlineLevel="0" collapsed="false">
      <c r="A86" s="6" t="n">
        <v>46311.875</v>
      </c>
      <c r="B86" s="7" t="s">
        <v>47</v>
      </c>
      <c r="C86" s="8" t="n">
        <v>46306</v>
      </c>
      <c r="D86" s="9" t="n">
        <f aca="false">IF(OR(B86="",C86=""),"",IFERROR(C86-INDEX(Films!$C$2:$C$100,MATCH(B86,Films!$A$2:$A$100,0))+1,""))</f>
        <v>17</v>
      </c>
      <c r="E86" s="10" t="n">
        <v>1.75</v>
      </c>
      <c r="F86" s="7" t="s">
        <v>34</v>
      </c>
      <c r="G86" s="7" t="s">
        <v>38</v>
      </c>
      <c r="H86" s="7" t="s">
        <v>36</v>
      </c>
      <c r="I86" s="7" t="s">
        <v>37</v>
      </c>
      <c r="J86" s="9" t="n">
        <f aca="false">IF(B86="","",COUNTIFS($B$2:$B$500,B86,$C$2:$C$500,C86,$F$2:$F$500,F86,$H$2:$H$500,"Trade estimate"))</f>
        <v>3</v>
      </c>
      <c r="K86" s="11" t="n">
        <f aca="false">IF(OR(J86="",J86=0),"",_xlfn.MAXIFS($E$2:$E$500,$B$2:$B$500,B86,$C$2:$C$500,C86,$F$2:$F$500,F86,$H$2:$H$500,"Trade estimate"))</f>
        <v>1.85</v>
      </c>
      <c r="L86" s="11" t="n">
        <f aca="false">IF(OR(J86="",J86=0),"",_xlfn.MINIFS($E$2:$E$500,$B$2:$B$500,B86,$C$2:$C$500,C86,$F$2:$F$500,F86,$H$2:$H$500,"Trade estimate"))</f>
        <v>1.75</v>
      </c>
      <c r="M86" s="12" t="n">
        <f aca="false">IF(OR(J86="",J86&lt;2),"",IF(L86=0,"",(K86-L86)/L86))</f>
        <v>0.0571428571428572</v>
      </c>
      <c r="N86" s="13" t="str">
        <f aca="false">IF(B86="","",IF(J86&lt;2,"Needs 2+ trade sources",IF(M86&gt;Lists!$E$2,"CHECK","OK")))</f>
        <v>OK</v>
      </c>
      <c r="O86" s="9" t="str">
        <f aca="false">IF(B86="","",IF(J86&lt;2,"Needs 2+ trade sources",IF(M86&lt;=Lists!$E$6,"Good",IF(M86&lt;=Lists!$E$2,"Moderate","Bad"))))</f>
        <v>Moderate</v>
      </c>
    </row>
    <row r="87" customFormat="false" ht="14.25" hidden="false" customHeight="true" outlineLevel="0" collapsed="false">
      <c r="A87" s="6" t="n">
        <v>46311.875</v>
      </c>
      <c r="B87" s="7" t="s">
        <v>47</v>
      </c>
      <c r="C87" s="8" t="n">
        <v>46306</v>
      </c>
      <c r="D87" s="9" t="n">
        <f aca="false">IF(OR(B87="",C87=""),"",IFERROR(C87-INDEX(Films!$C$2:$C$100,MATCH(B87,Films!$A$2:$A$100,0))+1,""))</f>
        <v>17</v>
      </c>
      <c r="E87" s="10" t="n">
        <v>1.8</v>
      </c>
      <c r="F87" s="7" t="s">
        <v>34</v>
      </c>
      <c r="G87" s="7" t="s">
        <v>39</v>
      </c>
      <c r="H87" s="7" t="s">
        <v>36</v>
      </c>
      <c r="I87" s="7" t="s">
        <v>37</v>
      </c>
      <c r="J87" s="9" t="n">
        <f aca="false">IF(B87="","",COUNTIFS($B$2:$B$500,B87,$C$2:$C$500,C87,$F$2:$F$500,F87,$H$2:$H$500,"Trade estimate"))</f>
        <v>3</v>
      </c>
      <c r="K87" s="11" t="n">
        <f aca="false">IF(OR(J87="",J87=0),"",_xlfn.MAXIFS($E$2:$E$500,$B$2:$B$500,B87,$C$2:$C$500,C87,$F$2:$F$500,F87,$H$2:$H$500,"Trade estimate"))</f>
        <v>1.85</v>
      </c>
      <c r="L87" s="11" t="n">
        <f aca="false">IF(OR(J87="",J87=0),"",_xlfn.MINIFS($E$2:$E$500,$B$2:$B$500,B87,$C$2:$C$500,C87,$F$2:$F$500,F87,$H$2:$H$500,"Trade estimate"))</f>
        <v>1.75</v>
      </c>
      <c r="M87" s="12" t="n">
        <f aca="false">IF(OR(J87="",J87&lt;2),"",IF(L87=0,"",(K87-L87)/L87))</f>
        <v>0.0571428571428572</v>
      </c>
      <c r="N87" s="13" t="str">
        <f aca="false">IF(B87="","",IF(J87&lt;2,"Needs 2+ trade sources",IF(M87&gt;Lists!$E$2,"CHECK","OK")))</f>
        <v>OK</v>
      </c>
      <c r="O87" s="9" t="str">
        <f aca="false">IF(B87="","",IF(J87&lt;2,"Needs 2+ trade sources",IF(M87&lt;=Lists!$E$6,"Good",IF(M87&lt;=Lists!$E$2,"Moderate","Bad"))))</f>
        <v>Moderate</v>
      </c>
    </row>
    <row r="88" customFormat="false" ht="14.25" hidden="false" customHeight="true" outlineLevel="0" collapsed="false">
      <c r="A88" s="6" t="n">
        <v>46311.875</v>
      </c>
      <c r="B88" s="7" t="s">
        <v>47</v>
      </c>
      <c r="C88" s="8" t="n">
        <v>46306</v>
      </c>
      <c r="D88" s="9" t="n">
        <f aca="false">IF(OR(B88="",C88=""),"",IFERROR(C88-INDEX(Films!$C$2:$C$100,MATCH(B88,Films!$A$2:$A$100,0))+1,""))</f>
        <v>17</v>
      </c>
      <c r="E88" s="10" t="n">
        <v>2.05</v>
      </c>
      <c r="F88" s="7" t="s">
        <v>34</v>
      </c>
      <c r="G88" s="7" t="s">
        <v>40</v>
      </c>
      <c r="H88" s="7" t="s">
        <v>41</v>
      </c>
      <c r="I88" s="7" t="s">
        <v>42</v>
      </c>
      <c r="J88" s="9" t="n">
        <f aca="false">IF(B88="","",COUNTIFS($B$2:$B$500,B88,$C$2:$C$500,C88,$F$2:$F$500,F88,$H$2:$H$500,"Trade estimate"))</f>
        <v>3</v>
      </c>
      <c r="K88" s="11" t="n">
        <f aca="false">IF(OR(J88="",J88=0),"",_xlfn.MAXIFS($E$2:$E$500,$B$2:$B$500,B88,$C$2:$C$500,C88,$F$2:$F$500,F88,$H$2:$H$500,"Trade estimate"))</f>
        <v>1.85</v>
      </c>
      <c r="L88" s="11" t="n">
        <f aca="false">IF(OR(J88="",J88=0),"",_xlfn.MINIFS($E$2:$E$500,$B$2:$B$500,B88,$C$2:$C$500,C88,$F$2:$F$500,F88,$H$2:$H$500,"Trade estimate"))</f>
        <v>1.75</v>
      </c>
      <c r="M88" s="12" t="n">
        <f aca="false">IF(OR(J88="",J88&lt;2),"",IF(L88=0,"",(K88-L88)/L88))</f>
        <v>0.0571428571428572</v>
      </c>
      <c r="N88" s="13" t="str">
        <f aca="false">IF(B88="","",IF(J88&lt;2,"Needs 2+ trade sources",IF(M88&gt;Lists!$E$2,"CHECK","OK")))</f>
        <v>OK</v>
      </c>
      <c r="O88" s="9" t="str">
        <f aca="false">IF(B88="","",IF(J88&lt;2,"Needs 2+ trade sources",IF(M88&lt;=Lists!$E$6,"Good",IF(M88&lt;=Lists!$E$2,"Moderate","Bad"))))</f>
        <v>Moderate</v>
      </c>
    </row>
    <row r="89" customFormat="false" ht="14.25" hidden="false" customHeight="true" outlineLevel="0" collapsed="false">
      <c r="A89" s="6" t="n">
        <v>46311.875</v>
      </c>
      <c r="B89" s="7" t="s">
        <v>47</v>
      </c>
      <c r="C89" s="8" t="n">
        <v>46307</v>
      </c>
      <c r="D89" s="9" t="n">
        <f aca="false">IF(OR(B89="",C89=""),"",IFERROR(C89-INDEX(Films!$C$2:$C$100,MATCH(B89,Films!$A$2:$A$100,0))+1,""))</f>
        <v>18</v>
      </c>
      <c r="E89" s="10" t="n">
        <v>0.75</v>
      </c>
      <c r="F89" s="7" t="s">
        <v>34</v>
      </c>
      <c r="G89" s="7" t="s">
        <v>35</v>
      </c>
      <c r="H89" s="7" t="s">
        <v>36</v>
      </c>
      <c r="I89" s="7" t="s">
        <v>37</v>
      </c>
      <c r="J89" s="9" t="n">
        <f aca="false">IF(B89="","",COUNTIFS($B$2:$B$500,B89,$C$2:$C$500,C89,$F$2:$F$500,F89,$H$2:$H$500,"Trade estimate"))</f>
        <v>3</v>
      </c>
      <c r="K89" s="11" t="n">
        <f aca="false">IF(OR(J89="",J89=0),"",_xlfn.MAXIFS($E$2:$E$500,$B$2:$B$500,B89,$C$2:$C$500,C89,$F$2:$F$500,F89,$H$2:$H$500,"Trade estimate"))</f>
        <v>0.75</v>
      </c>
      <c r="L89" s="11" t="n">
        <f aca="false">IF(OR(J89="",J89=0),"",_xlfn.MINIFS($E$2:$E$500,$B$2:$B$500,B89,$C$2:$C$500,C89,$F$2:$F$500,F89,$H$2:$H$500,"Trade estimate"))</f>
        <v>0.7</v>
      </c>
      <c r="M89" s="12" t="n">
        <f aca="false">IF(OR(J89="",J89&lt;2),"",IF(L89=0,"",(K89-L89)/L89))</f>
        <v>0.0714285714285715</v>
      </c>
      <c r="N89" s="13" t="str">
        <f aca="false">IF(B89="","",IF(J89&lt;2,"Needs 2+ trade sources",IF(M89&gt;Lists!$E$2,"CHECK","OK")))</f>
        <v>OK</v>
      </c>
      <c r="O89" s="9" t="str">
        <f aca="false">IF(B89="","",IF(J89&lt;2,"Needs 2+ trade sources",IF(M89&lt;=Lists!$E$6,"Good",IF(M89&lt;=Lists!$E$2,"Moderate","Bad"))))</f>
        <v>Moderate</v>
      </c>
    </row>
    <row r="90" customFormat="false" ht="14.25" hidden="false" customHeight="true" outlineLevel="0" collapsed="false">
      <c r="A90" s="6" t="n">
        <v>46311.875</v>
      </c>
      <c r="B90" s="7" t="s">
        <v>47</v>
      </c>
      <c r="C90" s="8" t="n">
        <v>46307</v>
      </c>
      <c r="D90" s="9" t="n">
        <f aca="false">IF(OR(B90="",C90=""),"",IFERROR(C90-INDEX(Films!$C$2:$C$100,MATCH(B90,Films!$A$2:$A$100,0))+1,""))</f>
        <v>18</v>
      </c>
      <c r="E90" s="10" t="n">
        <v>0.7</v>
      </c>
      <c r="F90" s="7" t="s">
        <v>34</v>
      </c>
      <c r="G90" s="7" t="s">
        <v>38</v>
      </c>
      <c r="H90" s="7" t="s">
        <v>36</v>
      </c>
      <c r="I90" s="7" t="s">
        <v>37</v>
      </c>
      <c r="J90" s="9" t="n">
        <f aca="false">IF(B90="","",COUNTIFS($B$2:$B$500,B90,$C$2:$C$500,C90,$F$2:$F$500,F90,$H$2:$H$500,"Trade estimate"))</f>
        <v>3</v>
      </c>
      <c r="K90" s="11" t="n">
        <f aca="false">IF(OR(J90="",J90=0),"",_xlfn.MAXIFS($E$2:$E$500,$B$2:$B$500,B90,$C$2:$C$500,C90,$F$2:$F$500,F90,$H$2:$H$500,"Trade estimate"))</f>
        <v>0.75</v>
      </c>
      <c r="L90" s="11" t="n">
        <f aca="false">IF(OR(J90="",J90=0),"",_xlfn.MINIFS($E$2:$E$500,$B$2:$B$500,B90,$C$2:$C$500,C90,$F$2:$F$500,F90,$H$2:$H$500,"Trade estimate"))</f>
        <v>0.7</v>
      </c>
      <c r="M90" s="12" t="n">
        <f aca="false">IF(OR(J90="",J90&lt;2),"",IF(L90=0,"",(K90-L90)/L90))</f>
        <v>0.0714285714285715</v>
      </c>
      <c r="N90" s="13" t="str">
        <f aca="false">IF(B90="","",IF(J90&lt;2,"Needs 2+ trade sources",IF(M90&gt;Lists!$E$2,"CHECK","OK")))</f>
        <v>OK</v>
      </c>
      <c r="O90" s="9" t="str">
        <f aca="false">IF(B90="","",IF(J90&lt;2,"Needs 2+ trade sources",IF(M90&lt;=Lists!$E$6,"Good",IF(M90&lt;=Lists!$E$2,"Moderate","Bad"))))</f>
        <v>Moderate</v>
      </c>
    </row>
    <row r="91" customFormat="false" ht="14.25" hidden="false" customHeight="true" outlineLevel="0" collapsed="false">
      <c r="A91" s="6" t="n">
        <v>46311.875</v>
      </c>
      <c r="B91" s="7" t="s">
        <v>47</v>
      </c>
      <c r="C91" s="8" t="n">
        <v>46307</v>
      </c>
      <c r="D91" s="9" t="n">
        <f aca="false">IF(OR(B91="",C91=""),"",IFERROR(C91-INDEX(Films!$C$2:$C$100,MATCH(B91,Films!$A$2:$A$100,0))+1,""))</f>
        <v>18</v>
      </c>
      <c r="E91" s="10" t="n">
        <v>0.72</v>
      </c>
      <c r="F91" s="7" t="s">
        <v>34</v>
      </c>
      <c r="G91" s="7" t="s">
        <v>39</v>
      </c>
      <c r="H91" s="7" t="s">
        <v>36</v>
      </c>
      <c r="I91" s="7" t="s">
        <v>37</v>
      </c>
      <c r="J91" s="9" t="n">
        <f aca="false">IF(B91="","",COUNTIFS($B$2:$B$500,B91,$C$2:$C$500,C91,$F$2:$F$500,F91,$H$2:$H$500,"Trade estimate"))</f>
        <v>3</v>
      </c>
      <c r="K91" s="11" t="n">
        <f aca="false">IF(OR(J91="",J91=0),"",_xlfn.MAXIFS($E$2:$E$500,$B$2:$B$500,B91,$C$2:$C$500,C91,$F$2:$F$500,F91,$H$2:$H$500,"Trade estimate"))</f>
        <v>0.75</v>
      </c>
      <c r="L91" s="11" t="n">
        <f aca="false">IF(OR(J91="",J91=0),"",_xlfn.MINIFS($E$2:$E$500,$B$2:$B$500,B91,$C$2:$C$500,C91,$F$2:$F$500,F91,$H$2:$H$500,"Trade estimate"))</f>
        <v>0.7</v>
      </c>
      <c r="M91" s="12" t="n">
        <f aca="false">IF(OR(J91="",J91&lt;2),"",IF(L91=0,"",(K91-L91)/L91))</f>
        <v>0.0714285714285715</v>
      </c>
      <c r="N91" s="13" t="str">
        <f aca="false">IF(B91="","",IF(J91&lt;2,"Needs 2+ trade sources",IF(M91&gt;Lists!$E$2,"CHECK","OK")))</f>
        <v>OK</v>
      </c>
      <c r="O91" s="9" t="str">
        <f aca="false">IF(B91="","",IF(J91&lt;2,"Needs 2+ trade sources",IF(M91&lt;=Lists!$E$6,"Good",IF(M91&lt;=Lists!$E$2,"Moderate","Bad"))))</f>
        <v>Moderate</v>
      </c>
    </row>
    <row r="92" customFormat="false" ht="14.25" hidden="false" customHeight="true" outlineLevel="0" collapsed="false">
      <c r="A92" s="6" t="n">
        <v>46311.875</v>
      </c>
      <c r="B92" s="7" t="s">
        <v>47</v>
      </c>
      <c r="C92" s="8" t="n">
        <v>46307</v>
      </c>
      <c r="D92" s="9" t="n">
        <f aca="false">IF(OR(B92="",C92=""),"",IFERROR(C92-INDEX(Films!$C$2:$C$100,MATCH(B92,Films!$A$2:$A$100,0))+1,""))</f>
        <v>18</v>
      </c>
      <c r="E92" s="10" t="n">
        <v>0.85</v>
      </c>
      <c r="F92" s="7" t="s">
        <v>34</v>
      </c>
      <c r="G92" s="7" t="s">
        <v>40</v>
      </c>
      <c r="H92" s="7" t="s">
        <v>41</v>
      </c>
      <c r="I92" s="7" t="s">
        <v>42</v>
      </c>
      <c r="J92" s="9" t="n">
        <f aca="false">IF(B92="","",COUNTIFS($B$2:$B$500,B92,$C$2:$C$500,C92,$F$2:$F$500,F92,$H$2:$H$500,"Trade estimate"))</f>
        <v>3</v>
      </c>
      <c r="K92" s="11" t="n">
        <f aca="false">IF(OR(J92="",J92=0),"",_xlfn.MAXIFS($E$2:$E$500,$B$2:$B$500,B92,$C$2:$C$500,C92,$F$2:$F$500,F92,$H$2:$H$500,"Trade estimate"))</f>
        <v>0.75</v>
      </c>
      <c r="L92" s="11" t="n">
        <f aca="false">IF(OR(J92="",J92=0),"",_xlfn.MINIFS($E$2:$E$500,$B$2:$B$500,B92,$C$2:$C$500,C92,$F$2:$F$500,F92,$H$2:$H$500,"Trade estimate"))</f>
        <v>0.7</v>
      </c>
      <c r="M92" s="12" t="n">
        <f aca="false">IF(OR(J92="",J92&lt;2),"",IF(L92=0,"",(K92-L92)/L92))</f>
        <v>0.0714285714285715</v>
      </c>
      <c r="N92" s="13" t="str">
        <f aca="false">IF(B92="","",IF(J92&lt;2,"Needs 2+ trade sources",IF(M92&gt;Lists!$E$2,"CHECK","OK")))</f>
        <v>OK</v>
      </c>
      <c r="O92" s="9" t="str">
        <f aca="false">IF(B92="","",IF(J92&lt;2,"Needs 2+ trade sources",IF(M92&lt;=Lists!$E$6,"Good",IF(M92&lt;=Lists!$E$2,"Moderate","Bad"))))</f>
        <v>Moderate</v>
      </c>
    </row>
    <row r="93" customFormat="false" ht="14.25" hidden="false" customHeight="true" outlineLevel="0" collapsed="false">
      <c r="A93" s="6" t="n">
        <v>46311.875</v>
      </c>
      <c r="B93" s="7" t="s">
        <v>47</v>
      </c>
      <c r="C93" s="8" t="n">
        <v>46308</v>
      </c>
      <c r="D93" s="9" t="n">
        <f aca="false">IF(OR(B93="",C93=""),"",IFERROR(C93-INDEX(Films!$C$2:$C$100,MATCH(B93,Films!$A$2:$A$100,0))+1,""))</f>
        <v>19</v>
      </c>
      <c r="E93" s="10" t="n">
        <v>0.68</v>
      </c>
      <c r="F93" s="7" t="s">
        <v>34</v>
      </c>
      <c r="G93" s="7" t="s">
        <v>35</v>
      </c>
      <c r="H93" s="7" t="s">
        <v>36</v>
      </c>
      <c r="I93" s="7" t="s">
        <v>37</v>
      </c>
      <c r="J93" s="9" t="n">
        <f aca="false">IF(B93="","",COUNTIFS($B$2:$B$500,B93,$C$2:$C$500,C93,$F$2:$F$500,F93,$H$2:$H$500,"Trade estimate"))</f>
        <v>3</v>
      </c>
      <c r="K93" s="11" t="n">
        <f aca="false">IF(OR(J93="",J93=0),"",_xlfn.MAXIFS($E$2:$E$500,$B$2:$B$500,B93,$C$2:$C$500,C93,$F$2:$F$500,F93,$H$2:$H$500,"Trade estimate"))</f>
        <v>0.68</v>
      </c>
      <c r="L93" s="11" t="n">
        <f aca="false">IF(OR(J93="",J93=0),"",_xlfn.MINIFS($E$2:$E$500,$B$2:$B$500,B93,$C$2:$C$500,C93,$F$2:$F$500,F93,$H$2:$H$500,"Trade estimate"))</f>
        <v>0.64</v>
      </c>
      <c r="M93" s="12" t="n">
        <f aca="false">IF(OR(J93="",J93&lt;2),"",IF(L93=0,"",(K93-L93)/L93))</f>
        <v>0.0625000000000001</v>
      </c>
      <c r="N93" s="13" t="str">
        <f aca="false">IF(B93="","",IF(J93&lt;2,"Needs 2+ trade sources",IF(M93&gt;Lists!$E$2,"CHECK","OK")))</f>
        <v>OK</v>
      </c>
      <c r="O93" s="9" t="str">
        <f aca="false">IF(B93="","",IF(J93&lt;2,"Needs 2+ trade sources",IF(M93&lt;=Lists!$E$6,"Good",IF(M93&lt;=Lists!$E$2,"Moderate","Bad"))))</f>
        <v>Moderate</v>
      </c>
    </row>
    <row r="94" customFormat="false" ht="14.25" hidden="false" customHeight="true" outlineLevel="0" collapsed="false">
      <c r="A94" s="6" t="n">
        <v>46311.875</v>
      </c>
      <c r="B94" s="7" t="s">
        <v>47</v>
      </c>
      <c r="C94" s="8" t="n">
        <v>46308</v>
      </c>
      <c r="D94" s="9" t="n">
        <f aca="false">IF(OR(B94="",C94=""),"",IFERROR(C94-INDEX(Films!$C$2:$C$100,MATCH(B94,Films!$A$2:$A$100,0))+1,""))</f>
        <v>19</v>
      </c>
      <c r="E94" s="10" t="n">
        <v>0.64</v>
      </c>
      <c r="F94" s="7" t="s">
        <v>34</v>
      </c>
      <c r="G94" s="7" t="s">
        <v>38</v>
      </c>
      <c r="H94" s="7" t="s">
        <v>36</v>
      </c>
      <c r="I94" s="7" t="s">
        <v>37</v>
      </c>
      <c r="J94" s="9" t="n">
        <f aca="false">IF(B94="","",COUNTIFS($B$2:$B$500,B94,$C$2:$C$500,C94,$F$2:$F$500,F94,$H$2:$H$500,"Trade estimate"))</f>
        <v>3</v>
      </c>
      <c r="K94" s="11" t="n">
        <f aca="false">IF(OR(J94="",J94=0),"",_xlfn.MAXIFS($E$2:$E$500,$B$2:$B$500,B94,$C$2:$C$500,C94,$F$2:$F$500,F94,$H$2:$H$500,"Trade estimate"))</f>
        <v>0.68</v>
      </c>
      <c r="L94" s="11" t="n">
        <f aca="false">IF(OR(J94="",J94=0),"",_xlfn.MINIFS($E$2:$E$500,$B$2:$B$500,B94,$C$2:$C$500,C94,$F$2:$F$500,F94,$H$2:$H$500,"Trade estimate"))</f>
        <v>0.64</v>
      </c>
      <c r="M94" s="12" t="n">
        <f aca="false">IF(OR(J94="",J94&lt;2),"",IF(L94=0,"",(K94-L94)/L94))</f>
        <v>0.0625000000000001</v>
      </c>
      <c r="N94" s="13" t="str">
        <f aca="false">IF(B94="","",IF(J94&lt;2,"Needs 2+ trade sources",IF(M94&gt;Lists!$E$2,"CHECK","OK")))</f>
        <v>OK</v>
      </c>
      <c r="O94" s="9" t="str">
        <f aca="false">IF(B94="","",IF(J94&lt;2,"Needs 2+ trade sources",IF(M94&lt;=Lists!$E$6,"Good",IF(M94&lt;=Lists!$E$2,"Moderate","Bad"))))</f>
        <v>Moderate</v>
      </c>
    </row>
    <row r="95" customFormat="false" ht="14.25" hidden="false" customHeight="true" outlineLevel="0" collapsed="false">
      <c r="A95" s="6" t="n">
        <v>46311.875</v>
      </c>
      <c r="B95" s="7" t="s">
        <v>47</v>
      </c>
      <c r="C95" s="8" t="n">
        <v>46308</v>
      </c>
      <c r="D95" s="9" t="n">
        <f aca="false">IF(OR(B95="",C95=""),"",IFERROR(C95-INDEX(Films!$C$2:$C$100,MATCH(B95,Films!$A$2:$A$100,0))+1,""))</f>
        <v>19</v>
      </c>
      <c r="E95" s="10" t="n">
        <v>0.65</v>
      </c>
      <c r="F95" s="7" t="s">
        <v>34</v>
      </c>
      <c r="G95" s="7" t="s">
        <v>39</v>
      </c>
      <c r="H95" s="7" t="s">
        <v>36</v>
      </c>
      <c r="I95" s="7" t="s">
        <v>37</v>
      </c>
      <c r="J95" s="9" t="n">
        <f aca="false">IF(B95="","",COUNTIFS($B$2:$B$500,B95,$C$2:$C$500,C95,$F$2:$F$500,F95,$H$2:$H$500,"Trade estimate"))</f>
        <v>3</v>
      </c>
      <c r="K95" s="11" t="n">
        <f aca="false">IF(OR(J95="",J95=0),"",_xlfn.MAXIFS($E$2:$E$500,$B$2:$B$500,B95,$C$2:$C$500,C95,$F$2:$F$500,F95,$H$2:$H$500,"Trade estimate"))</f>
        <v>0.68</v>
      </c>
      <c r="L95" s="11" t="n">
        <f aca="false">IF(OR(J95="",J95=0),"",_xlfn.MINIFS($E$2:$E$500,$B$2:$B$500,B95,$C$2:$C$500,C95,$F$2:$F$500,F95,$H$2:$H$500,"Trade estimate"))</f>
        <v>0.64</v>
      </c>
      <c r="M95" s="12" t="n">
        <f aca="false">IF(OR(J95="",J95&lt;2),"",IF(L95=0,"",(K95-L95)/L95))</f>
        <v>0.0625000000000001</v>
      </c>
      <c r="N95" s="13" t="str">
        <f aca="false">IF(B95="","",IF(J95&lt;2,"Needs 2+ trade sources",IF(M95&gt;Lists!$E$2,"CHECK","OK")))</f>
        <v>OK</v>
      </c>
      <c r="O95" s="9" t="str">
        <f aca="false">IF(B95="","",IF(J95&lt;2,"Needs 2+ trade sources",IF(M95&lt;=Lists!$E$6,"Good",IF(M95&lt;=Lists!$E$2,"Moderate","Bad"))))</f>
        <v>Moderate</v>
      </c>
    </row>
    <row r="96" customFormat="false" ht="14.25" hidden="false" customHeight="true" outlineLevel="0" collapsed="false">
      <c r="A96" s="6" t="n">
        <v>46311.875</v>
      </c>
      <c r="B96" s="7" t="s">
        <v>47</v>
      </c>
      <c r="C96" s="8" t="n">
        <v>46308</v>
      </c>
      <c r="D96" s="9" t="n">
        <f aca="false">IF(OR(B96="",C96=""),"",IFERROR(C96-INDEX(Films!$C$2:$C$100,MATCH(B96,Films!$A$2:$A$100,0))+1,""))</f>
        <v>19</v>
      </c>
      <c r="E96" s="10" t="n">
        <v>0.75</v>
      </c>
      <c r="F96" s="7" t="s">
        <v>34</v>
      </c>
      <c r="G96" s="7" t="s">
        <v>40</v>
      </c>
      <c r="H96" s="7" t="s">
        <v>41</v>
      </c>
      <c r="I96" s="7" t="s">
        <v>42</v>
      </c>
      <c r="J96" s="9" t="n">
        <f aca="false">IF(B96="","",COUNTIFS($B$2:$B$500,B96,$C$2:$C$500,C96,$F$2:$F$500,F96,$H$2:$H$500,"Trade estimate"))</f>
        <v>3</v>
      </c>
      <c r="K96" s="11" t="n">
        <f aca="false">IF(OR(J96="",J96=0),"",_xlfn.MAXIFS($E$2:$E$500,$B$2:$B$500,B96,$C$2:$C$500,C96,$F$2:$F$500,F96,$H$2:$H$500,"Trade estimate"))</f>
        <v>0.68</v>
      </c>
      <c r="L96" s="11" t="n">
        <f aca="false">IF(OR(J96="",J96=0),"",_xlfn.MINIFS($E$2:$E$500,$B$2:$B$500,B96,$C$2:$C$500,C96,$F$2:$F$500,F96,$H$2:$H$500,"Trade estimate"))</f>
        <v>0.64</v>
      </c>
      <c r="M96" s="12" t="n">
        <f aca="false">IF(OR(J96="",J96&lt;2),"",IF(L96=0,"",(K96-L96)/L96))</f>
        <v>0.0625000000000001</v>
      </c>
      <c r="N96" s="13" t="str">
        <f aca="false">IF(B96="","",IF(J96&lt;2,"Needs 2+ trade sources",IF(M96&gt;Lists!$E$2,"CHECK","OK")))</f>
        <v>OK</v>
      </c>
      <c r="O96" s="9" t="str">
        <f aca="false">IF(B96="","",IF(J96&lt;2,"Needs 2+ trade sources",IF(M96&lt;=Lists!$E$6,"Good",IF(M96&lt;=Lists!$E$2,"Moderate","Bad"))))</f>
        <v>Moderate</v>
      </c>
    </row>
    <row r="97" customFormat="false" ht="14.25" hidden="false" customHeight="true" outlineLevel="0" collapsed="false">
      <c r="A97" s="6" t="n">
        <v>46311.875</v>
      </c>
      <c r="B97" s="7" t="s">
        <v>47</v>
      </c>
      <c r="C97" s="8" t="n">
        <v>46309</v>
      </c>
      <c r="D97" s="9" t="n">
        <f aca="false">IF(OR(B97="",C97=""),"",IFERROR(C97-INDEX(Films!$C$2:$C$100,MATCH(B97,Films!$A$2:$A$100,0))+1,""))</f>
        <v>20</v>
      </c>
      <c r="E97" s="10" t="n">
        <v>0.6</v>
      </c>
      <c r="F97" s="7" t="s">
        <v>34</v>
      </c>
      <c r="G97" s="7" t="s">
        <v>35</v>
      </c>
      <c r="H97" s="7" t="s">
        <v>36</v>
      </c>
      <c r="I97" s="7" t="s">
        <v>37</v>
      </c>
      <c r="J97" s="9" t="n">
        <f aca="false">IF(B97="","",COUNTIFS($B$2:$B$500,B97,$C$2:$C$500,C97,$F$2:$F$500,F97,$H$2:$H$500,"Trade estimate"))</f>
        <v>3</v>
      </c>
      <c r="K97" s="11" t="n">
        <f aca="false">IF(OR(J97="",J97=0),"",_xlfn.MAXIFS($E$2:$E$500,$B$2:$B$500,B97,$C$2:$C$500,C97,$F$2:$F$500,F97,$H$2:$H$500,"Trade estimate"))</f>
        <v>0.6</v>
      </c>
      <c r="L97" s="11" t="n">
        <f aca="false">IF(OR(J97="",J97=0),"",_xlfn.MINIFS($E$2:$E$500,$B$2:$B$500,B97,$C$2:$C$500,C97,$F$2:$F$500,F97,$H$2:$H$500,"Trade estimate"))</f>
        <v>0.56</v>
      </c>
      <c r="M97" s="12" t="n">
        <f aca="false">IF(OR(J97="",J97&lt;2),"",IF(L97=0,"",(K97-L97)/L97))</f>
        <v>0.0714285714285713</v>
      </c>
      <c r="N97" s="13" t="str">
        <f aca="false">IF(B97="","",IF(J97&lt;2,"Needs 2+ trade sources",IF(M97&gt;Lists!$E$2,"CHECK","OK")))</f>
        <v>OK</v>
      </c>
      <c r="O97" s="9" t="str">
        <f aca="false">IF(B97="","",IF(J97&lt;2,"Needs 2+ trade sources",IF(M97&lt;=Lists!$E$6,"Good",IF(M97&lt;=Lists!$E$2,"Moderate","Bad"))))</f>
        <v>Moderate</v>
      </c>
    </row>
    <row r="98" customFormat="false" ht="14.25" hidden="false" customHeight="true" outlineLevel="0" collapsed="false">
      <c r="A98" s="6" t="n">
        <v>46311.875</v>
      </c>
      <c r="B98" s="7" t="s">
        <v>47</v>
      </c>
      <c r="C98" s="8" t="n">
        <v>46309</v>
      </c>
      <c r="D98" s="9" t="n">
        <f aca="false">IF(OR(B98="",C98=""),"",IFERROR(C98-INDEX(Films!$C$2:$C$100,MATCH(B98,Films!$A$2:$A$100,0))+1,""))</f>
        <v>20</v>
      </c>
      <c r="E98" s="10" t="n">
        <v>0.56</v>
      </c>
      <c r="F98" s="7" t="s">
        <v>34</v>
      </c>
      <c r="G98" s="7" t="s">
        <v>38</v>
      </c>
      <c r="H98" s="7" t="s">
        <v>36</v>
      </c>
      <c r="I98" s="7" t="s">
        <v>37</v>
      </c>
      <c r="J98" s="9" t="n">
        <f aca="false">IF(B98="","",COUNTIFS($B$2:$B$500,B98,$C$2:$C$500,C98,$F$2:$F$500,F98,$H$2:$H$500,"Trade estimate"))</f>
        <v>3</v>
      </c>
      <c r="K98" s="11" t="n">
        <f aca="false">IF(OR(J98="",J98=0),"",_xlfn.MAXIFS($E$2:$E$500,$B$2:$B$500,B98,$C$2:$C$500,C98,$F$2:$F$500,F98,$H$2:$H$500,"Trade estimate"))</f>
        <v>0.6</v>
      </c>
      <c r="L98" s="11" t="n">
        <f aca="false">IF(OR(J98="",J98=0),"",_xlfn.MINIFS($E$2:$E$500,$B$2:$B$500,B98,$C$2:$C$500,C98,$F$2:$F$500,F98,$H$2:$H$500,"Trade estimate"))</f>
        <v>0.56</v>
      </c>
      <c r="M98" s="12" t="n">
        <f aca="false">IF(OR(J98="",J98&lt;2),"",IF(L98=0,"",(K98-L98)/L98))</f>
        <v>0.0714285714285713</v>
      </c>
      <c r="N98" s="13" t="str">
        <f aca="false">IF(B98="","",IF(J98&lt;2,"Needs 2+ trade sources",IF(M98&gt;Lists!$E$2,"CHECK","OK")))</f>
        <v>OK</v>
      </c>
      <c r="O98" s="9" t="str">
        <f aca="false">IF(B98="","",IF(J98&lt;2,"Needs 2+ trade sources",IF(M98&lt;=Lists!$E$6,"Good",IF(M98&lt;=Lists!$E$2,"Moderate","Bad"))))</f>
        <v>Moderate</v>
      </c>
    </row>
    <row r="99" customFormat="false" ht="14.25" hidden="false" customHeight="true" outlineLevel="0" collapsed="false">
      <c r="A99" s="6" t="n">
        <v>46311.875</v>
      </c>
      <c r="B99" s="7" t="s">
        <v>47</v>
      </c>
      <c r="C99" s="8" t="n">
        <v>46309</v>
      </c>
      <c r="D99" s="9" t="n">
        <f aca="false">IF(OR(B99="",C99=""),"",IFERROR(C99-INDEX(Films!$C$2:$C$100,MATCH(B99,Films!$A$2:$A$100,0))+1,""))</f>
        <v>20</v>
      </c>
      <c r="E99" s="10" t="n">
        <v>0.58</v>
      </c>
      <c r="F99" s="7" t="s">
        <v>34</v>
      </c>
      <c r="G99" s="7" t="s">
        <v>39</v>
      </c>
      <c r="H99" s="7" t="s">
        <v>36</v>
      </c>
      <c r="I99" s="7" t="s">
        <v>37</v>
      </c>
      <c r="J99" s="9" t="n">
        <f aca="false">IF(B99="","",COUNTIFS($B$2:$B$500,B99,$C$2:$C$500,C99,$F$2:$F$500,F99,$H$2:$H$500,"Trade estimate"))</f>
        <v>3</v>
      </c>
      <c r="K99" s="11" t="n">
        <f aca="false">IF(OR(J99="",J99=0),"",_xlfn.MAXIFS($E$2:$E$500,$B$2:$B$500,B99,$C$2:$C$500,C99,$F$2:$F$500,F99,$H$2:$H$500,"Trade estimate"))</f>
        <v>0.6</v>
      </c>
      <c r="L99" s="11" t="n">
        <f aca="false">IF(OR(J99="",J99=0),"",_xlfn.MINIFS($E$2:$E$500,$B$2:$B$500,B99,$C$2:$C$500,C99,$F$2:$F$500,F99,$H$2:$H$500,"Trade estimate"))</f>
        <v>0.56</v>
      </c>
      <c r="M99" s="12" t="n">
        <f aca="false">IF(OR(J99="",J99&lt;2),"",IF(L99=0,"",(K99-L99)/L99))</f>
        <v>0.0714285714285713</v>
      </c>
      <c r="N99" s="13" t="str">
        <f aca="false">IF(B99="","",IF(J99&lt;2,"Needs 2+ trade sources",IF(M99&gt;Lists!$E$2,"CHECK","OK")))</f>
        <v>OK</v>
      </c>
      <c r="O99" s="9" t="str">
        <f aca="false">IF(B99="","",IF(J99&lt;2,"Needs 2+ trade sources",IF(M99&lt;=Lists!$E$6,"Good",IF(M99&lt;=Lists!$E$2,"Moderate","Bad"))))</f>
        <v>Moderate</v>
      </c>
    </row>
    <row r="100" customFormat="false" ht="14.25" hidden="false" customHeight="true" outlineLevel="0" collapsed="false">
      <c r="A100" s="6" t="n">
        <v>46311.875</v>
      </c>
      <c r="B100" s="7" t="s">
        <v>47</v>
      </c>
      <c r="C100" s="8" t="n">
        <v>46309</v>
      </c>
      <c r="D100" s="9" t="n">
        <f aca="false">IF(OR(B100="",C100=""),"",IFERROR(C100-INDEX(Films!$C$2:$C$100,MATCH(B100,Films!$A$2:$A$100,0))+1,""))</f>
        <v>20</v>
      </c>
      <c r="E100" s="10" t="n">
        <v>0.68</v>
      </c>
      <c r="F100" s="7" t="s">
        <v>34</v>
      </c>
      <c r="G100" s="7" t="s">
        <v>40</v>
      </c>
      <c r="H100" s="7" t="s">
        <v>41</v>
      </c>
      <c r="I100" s="7" t="s">
        <v>42</v>
      </c>
      <c r="J100" s="9" t="n">
        <f aca="false">IF(B100="","",COUNTIFS($B$2:$B$500,B100,$C$2:$C$500,C100,$F$2:$F$500,F100,$H$2:$H$500,"Trade estimate"))</f>
        <v>3</v>
      </c>
      <c r="K100" s="11" t="n">
        <f aca="false">IF(OR(J100="",J100=0),"",_xlfn.MAXIFS($E$2:$E$500,$B$2:$B$500,B100,$C$2:$C$500,C100,$F$2:$F$500,F100,$H$2:$H$500,"Trade estimate"))</f>
        <v>0.6</v>
      </c>
      <c r="L100" s="11" t="n">
        <f aca="false">IF(OR(J100="",J100=0),"",_xlfn.MINIFS($E$2:$E$500,$B$2:$B$500,B100,$C$2:$C$500,C100,$F$2:$F$500,F100,$H$2:$H$500,"Trade estimate"))</f>
        <v>0.56</v>
      </c>
      <c r="M100" s="12" t="n">
        <f aca="false">IF(OR(J100="",J100&lt;2),"",IF(L100=0,"",(K100-L100)/L100))</f>
        <v>0.0714285714285713</v>
      </c>
      <c r="N100" s="13" t="str">
        <f aca="false">IF(B100="","",IF(J100&lt;2,"Needs 2+ trade sources",IF(M100&gt;Lists!$E$2,"CHECK","OK")))</f>
        <v>OK</v>
      </c>
      <c r="O100" s="9" t="str">
        <f aca="false">IF(B100="","",IF(J100&lt;2,"Needs 2+ trade sources",IF(M100&lt;=Lists!$E$6,"Good",IF(M100&lt;=Lists!$E$2,"Moderate","Bad"))))</f>
        <v>Moderate</v>
      </c>
    </row>
    <row r="101" customFormat="false" ht="14.25" hidden="false" customHeight="true" outlineLevel="0" collapsed="false">
      <c r="A101" s="6" t="n">
        <v>46311.875</v>
      </c>
      <c r="B101" s="7" t="s">
        <v>47</v>
      </c>
      <c r="C101" s="8" t="n">
        <v>46310</v>
      </c>
      <c r="D101" s="9" t="n">
        <f aca="false">IF(OR(B101="",C101=""),"",IFERROR(C101-INDEX(Films!$C$2:$C$100,MATCH(B101,Films!$A$2:$A$100,0))+1,""))</f>
        <v>21</v>
      </c>
      <c r="E101" s="10" t="n">
        <v>0.52</v>
      </c>
      <c r="F101" s="7" t="s">
        <v>34</v>
      </c>
      <c r="G101" s="7" t="s">
        <v>35</v>
      </c>
      <c r="H101" s="7" t="s">
        <v>36</v>
      </c>
      <c r="I101" s="7" t="s">
        <v>37</v>
      </c>
      <c r="J101" s="9" t="n">
        <f aca="false">IF(B101="","",COUNTIFS($B$2:$B$500,B101,$C$2:$C$500,C101,$F$2:$F$500,F101,$H$2:$H$500,"Trade estimate"))</f>
        <v>3</v>
      </c>
      <c r="K101" s="11" t="n">
        <f aca="false">IF(OR(J101="",J101=0),"",_xlfn.MAXIFS($E$2:$E$500,$B$2:$B$500,B101,$C$2:$C$500,C101,$F$2:$F$500,F101,$H$2:$H$500,"Trade estimate"))</f>
        <v>0.52</v>
      </c>
      <c r="L101" s="11" t="n">
        <f aca="false">IF(OR(J101="",J101=0),"",_xlfn.MINIFS($E$2:$E$500,$B$2:$B$500,B101,$C$2:$C$500,C101,$F$2:$F$500,F101,$H$2:$H$500,"Trade estimate"))</f>
        <v>0.49</v>
      </c>
      <c r="M101" s="12" t="n">
        <f aca="false">IF(OR(J101="",J101&lt;2),"",IF(L101=0,"",(K101-L101)/L101))</f>
        <v>0.0612244897959184</v>
      </c>
      <c r="N101" s="13" t="str">
        <f aca="false">IF(B101="","",IF(J101&lt;2,"Needs 2+ trade sources",IF(M101&gt;Lists!$E$2,"CHECK","OK")))</f>
        <v>OK</v>
      </c>
      <c r="O101" s="9" t="str">
        <f aca="false">IF(B101="","",IF(J101&lt;2,"Needs 2+ trade sources",IF(M101&lt;=Lists!$E$6,"Good",IF(M101&lt;=Lists!$E$2,"Moderate","Bad"))))</f>
        <v>Moderate</v>
      </c>
    </row>
    <row r="102" customFormat="false" ht="14.25" hidden="false" customHeight="true" outlineLevel="0" collapsed="false">
      <c r="A102" s="6" t="n">
        <v>46311.875</v>
      </c>
      <c r="B102" s="7" t="s">
        <v>47</v>
      </c>
      <c r="C102" s="8" t="n">
        <v>46310</v>
      </c>
      <c r="D102" s="9" t="n">
        <f aca="false">IF(OR(B102="",C102=""),"",IFERROR(C102-INDEX(Films!$C$2:$C$100,MATCH(B102,Films!$A$2:$A$100,0))+1,""))</f>
        <v>21</v>
      </c>
      <c r="E102" s="10" t="n">
        <v>0.49</v>
      </c>
      <c r="F102" s="7" t="s">
        <v>34</v>
      </c>
      <c r="G102" s="7" t="s">
        <v>38</v>
      </c>
      <c r="H102" s="7" t="s">
        <v>36</v>
      </c>
      <c r="I102" s="7" t="s">
        <v>37</v>
      </c>
      <c r="J102" s="9" t="n">
        <f aca="false">IF(B102="","",COUNTIFS($B$2:$B$500,B102,$C$2:$C$500,C102,$F$2:$F$500,F102,$H$2:$H$500,"Trade estimate"))</f>
        <v>3</v>
      </c>
      <c r="K102" s="11" t="n">
        <f aca="false">IF(OR(J102="",J102=0),"",_xlfn.MAXIFS($E$2:$E$500,$B$2:$B$500,B102,$C$2:$C$500,C102,$F$2:$F$500,F102,$H$2:$H$500,"Trade estimate"))</f>
        <v>0.52</v>
      </c>
      <c r="L102" s="11" t="n">
        <f aca="false">IF(OR(J102="",J102=0),"",_xlfn.MINIFS($E$2:$E$500,$B$2:$B$500,B102,$C$2:$C$500,C102,$F$2:$F$500,F102,$H$2:$H$500,"Trade estimate"))</f>
        <v>0.49</v>
      </c>
      <c r="M102" s="12" t="n">
        <f aca="false">IF(OR(J102="",J102&lt;2),"",IF(L102=0,"",(K102-L102)/L102))</f>
        <v>0.0612244897959184</v>
      </c>
      <c r="N102" s="13" t="str">
        <f aca="false">IF(B102="","",IF(J102&lt;2,"Needs 2+ trade sources",IF(M102&gt;Lists!$E$2,"CHECK","OK")))</f>
        <v>OK</v>
      </c>
      <c r="O102" s="9" t="str">
        <f aca="false">IF(B102="","",IF(J102&lt;2,"Needs 2+ trade sources",IF(M102&lt;=Lists!$E$6,"Good",IF(M102&lt;=Lists!$E$2,"Moderate","Bad"))))</f>
        <v>Moderate</v>
      </c>
    </row>
    <row r="103" customFormat="false" ht="14.25" hidden="false" customHeight="true" outlineLevel="0" collapsed="false">
      <c r="A103" s="6" t="n">
        <v>46311.875</v>
      </c>
      <c r="B103" s="7" t="s">
        <v>47</v>
      </c>
      <c r="C103" s="8" t="n">
        <v>46310</v>
      </c>
      <c r="D103" s="9" t="n">
        <f aca="false">IF(OR(B103="",C103=""),"",IFERROR(C103-INDEX(Films!$C$2:$C$100,MATCH(B103,Films!$A$2:$A$100,0))+1,""))</f>
        <v>21</v>
      </c>
      <c r="E103" s="10" t="n">
        <v>0.5</v>
      </c>
      <c r="F103" s="7" t="s">
        <v>34</v>
      </c>
      <c r="G103" s="7" t="s">
        <v>39</v>
      </c>
      <c r="H103" s="7" t="s">
        <v>36</v>
      </c>
      <c r="I103" s="7" t="s">
        <v>37</v>
      </c>
      <c r="J103" s="9" t="n">
        <f aca="false">IF(B103="","",COUNTIFS($B$2:$B$500,B103,$C$2:$C$500,C103,$F$2:$F$500,F103,$H$2:$H$500,"Trade estimate"))</f>
        <v>3</v>
      </c>
      <c r="K103" s="11" t="n">
        <f aca="false">IF(OR(J103="",J103=0),"",_xlfn.MAXIFS($E$2:$E$500,$B$2:$B$500,B103,$C$2:$C$500,C103,$F$2:$F$500,F103,$H$2:$H$500,"Trade estimate"))</f>
        <v>0.52</v>
      </c>
      <c r="L103" s="11" t="n">
        <f aca="false">IF(OR(J103="",J103=0),"",_xlfn.MINIFS($E$2:$E$500,$B$2:$B$500,B103,$C$2:$C$500,C103,$F$2:$F$500,F103,$H$2:$H$500,"Trade estimate"))</f>
        <v>0.49</v>
      </c>
      <c r="M103" s="12" t="n">
        <f aca="false">IF(OR(J103="",J103&lt;2),"",IF(L103=0,"",(K103-L103)/L103))</f>
        <v>0.0612244897959184</v>
      </c>
      <c r="N103" s="13" t="str">
        <f aca="false">IF(B103="","",IF(J103&lt;2,"Needs 2+ trade sources",IF(M103&gt;Lists!$E$2,"CHECK","OK")))</f>
        <v>OK</v>
      </c>
      <c r="O103" s="9" t="str">
        <f aca="false">IF(B103="","",IF(J103&lt;2,"Needs 2+ trade sources",IF(M103&lt;=Lists!$E$6,"Good",IF(M103&lt;=Lists!$E$2,"Moderate","Bad"))))</f>
        <v>Moderate</v>
      </c>
    </row>
    <row r="104" customFormat="false" ht="14.25" hidden="false" customHeight="true" outlineLevel="0" collapsed="false">
      <c r="A104" s="6" t="n">
        <v>46311.875</v>
      </c>
      <c r="B104" s="7" t="s">
        <v>47</v>
      </c>
      <c r="C104" s="8" t="n">
        <v>46310</v>
      </c>
      <c r="D104" s="9" t="n">
        <f aca="false">IF(OR(B104="",C104=""),"",IFERROR(C104-INDEX(Films!$C$2:$C$100,MATCH(B104,Films!$A$2:$A$100,0))+1,""))</f>
        <v>21</v>
      </c>
      <c r="E104" s="10" t="n">
        <v>0.6</v>
      </c>
      <c r="F104" s="7" t="s">
        <v>34</v>
      </c>
      <c r="G104" s="7" t="s">
        <v>40</v>
      </c>
      <c r="H104" s="7" t="s">
        <v>41</v>
      </c>
      <c r="I104" s="7" t="s">
        <v>42</v>
      </c>
      <c r="J104" s="9" t="n">
        <f aca="false">IF(B104="","",COUNTIFS($B$2:$B$500,B104,$C$2:$C$500,C104,$F$2:$F$500,F104,$H$2:$H$500,"Trade estimate"))</f>
        <v>3</v>
      </c>
      <c r="K104" s="11" t="n">
        <f aca="false">IF(OR(J104="",J104=0),"",_xlfn.MAXIFS($E$2:$E$500,$B$2:$B$500,B104,$C$2:$C$500,C104,$F$2:$F$500,F104,$H$2:$H$500,"Trade estimate"))</f>
        <v>0.52</v>
      </c>
      <c r="L104" s="11" t="n">
        <f aca="false">IF(OR(J104="",J104=0),"",_xlfn.MINIFS($E$2:$E$500,$B$2:$B$500,B104,$C$2:$C$500,C104,$F$2:$F$500,F104,$H$2:$H$500,"Trade estimate"))</f>
        <v>0.49</v>
      </c>
      <c r="M104" s="12" t="n">
        <f aca="false">IF(OR(J104="",J104&lt;2),"",IF(L104=0,"",(K104-L104)/L104))</f>
        <v>0.0612244897959184</v>
      </c>
      <c r="N104" s="13" t="str">
        <f aca="false">IF(B104="","",IF(J104&lt;2,"Needs 2+ trade sources",IF(M104&gt;Lists!$E$2,"CHECK","OK")))</f>
        <v>OK</v>
      </c>
      <c r="O104" s="9" t="str">
        <f aca="false">IF(B104="","",IF(J104&lt;2,"Needs 2+ trade sources",IF(M104&lt;=Lists!$E$6,"Good",IF(M104&lt;=Lists!$E$2,"Moderate","Bad"))))</f>
        <v>Moderate</v>
      </c>
    </row>
    <row r="105" customFormat="false" ht="14.25" hidden="false" customHeight="true" outlineLevel="0" collapsed="false">
      <c r="A105" s="6" t="n">
        <v>46311.875</v>
      </c>
      <c r="B105" s="7" t="s">
        <v>48</v>
      </c>
      <c r="C105" s="8" t="n">
        <v>46305</v>
      </c>
      <c r="D105" s="9" t="n">
        <f aca="false">IF(OR(B105="",C105=""),"",IFERROR(C105-INDEX(Films!$C$2:$C$100,MATCH(B105,Films!$A$2:$A$100,0))+1,""))</f>
        <v>2</v>
      </c>
      <c r="E105" s="10" t="n">
        <v>0.85</v>
      </c>
      <c r="F105" s="7" t="s">
        <v>34</v>
      </c>
      <c r="G105" s="7" t="s">
        <v>35</v>
      </c>
      <c r="H105" s="7" t="s">
        <v>36</v>
      </c>
      <c r="I105" s="7" t="s">
        <v>37</v>
      </c>
      <c r="J105" s="9" t="n">
        <f aca="false">IF(B105="","",COUNTIFS($B$2:$B$500,B105,$C$2:$C$500,C105,$F$2:$F$500,F105,$H$2:$H$500,"Trade estimate"))</f>
        <v>2</v>
      </c>
      <c r="K105" s="11" t="n">
        <f aca="false">IF(OR(J105="",J105=0),"",_xlfn.MAXIFS($E$2:$E$500,$B$2:$B$500,B105,$C$2:$C$500,C105,$F$2:$F$500,F105,$H$2:$H$500,"Trade estimate"))</f>
        <v>0.85</v>
      </c>
      <c r="L105" s="11" t="n">
        <f aca="false">IF(OR(J105="",J105=0),"",_xlfn.MINIFS($E$2:$E$500,$B$2:$B$500,B105,$C$2:$C$500,C105,$F$2:$F$500,F105,$H$2:$H$500,"Trade estimate"))</f>
        <v>0.82</v>
      </c>
      <c r="M105" s="12" t="n">
        <f aca="false">IF(OR(J105="",J105&lt;2),"",IF(L105=0,"",(K105-L105)/L105))</f>
        <v>0.0365853658536586</v>
      </c>
      <c r="N105" s="13" t="str">
        <f aca="false">IF(B105="","",IF(J105&lt;2,"Needs 2+ trade sources",IF(M105&gt;Lists!$E$2,"CHECK","OK")))</f>
        <v>OK</v>
      </c>
      <c r="O105" s="9" t="str">
        <f aca="false">IF(B105="","",IF(J105&lt;2,"Needs 2+ trade sources",IF(M105&lt;=Lists!$E$6,"Good",IF(M105&lt;=Lists!$E$2,"Moderate","Bad"))))</f>
        <v>Good</v>
      </c>
    </row>
    <row r="106" customFormat="false" ht="14.25" hidden="false" customHeight="true" outlineLevel="0" collapsed="false">
      <c r="A106" s="6" t="n">
        <v>46311.875</v>
      </c>
      <c r="B106" s="7" t="s">
        <v>48</v>
      </c>
      <c r="C106" s="8" t="n">
        <v>46305</v>
      </c>
      <c r="D106" s="9" t="n">
        <f aca="false">IF(OR(B106="",C106=""),"",IFERROR(C106-INDEX(Films!$C$2:$C$100,MATCH(B106,Films!$A$2:$A$100,0))+1,""))</f>
        <v>2</v>
      </c>
      <c r="E106" s="10" t="n">
        <v>0.82</v>
      </c>
      <c r="F106" s="7" t="s">
        <v>34</v>
      </c>
      <c r="G106" s="7" t="s">
        <v>38</v>
      </c>
      <c r="H106" s="7" t="s">
        <v>36</v>
      </c>
      <c r="I106" s="7" t="s">
        <v>37</v>
      </c>
      <c r="J106" s="9" t="n">
        <f aca="false">IF(B106="","",COUNTIFS($B$2:$B$500,B106,$C$2:$C$500,C106,$F$2:$F$500,F106,$H$2:$H$500,"Trade estimate"))</f>
        <v>2</v>
      </c>
      <c r="K106" s="11" t="n">
        <f aca="false">IF(OR(J106="",J106=0),"",_xlfn.MAXIFS($E$2:$E$500,$B$2:$B$500,B106,$C$2:$C$500,C106,$F$2:$F$500,F106,$H$2:$H$500,"Trade estimate"))</f>
        <v>0.85</v>
      </c>
      <c r="L106" s="11" t="n">
        <f aca="false">IF(OR(J106="",J106=0),"",_xlfn.MINIFS($E$2:$E$500,$B$2:$B$500,B106,$C$2:$C$500,C106,$F$2:$F$500,F106,$H$2:$H$500,"Trade estimate"))</f>
        <v>0.82</v>
      </c>
      <c r="M106" s="12" t="n">
        <f aca="false">IF(OR(J106="",J106&lt;2),"",IF(L106=0,"",(K106-L106)/L106))</f>
        <v>0.0365853658536586</v>
      </c>
      <c r="N106" s="13" t="str">
        <f aca="false">IF(B106="","",IF(J106&lt;2,"Needs 2+ trade sources",IF(M106&gt;Lists!$E$2,"CHECK","OK")))</f>
        <v>OK</v>
      </c>
      <c r="O106" s="9" t="str">
        <f aca="false">IF(B106="","",IF(J106&lt;2,"Needs 2+ trade sources",IF(M106&lt;=Lists!$E$6,"Good",IF(M106&lt;=Lists!$E$2,"Moderate","Bad"))))</f>
        <v>Good</v>
      </c>
    </row>
    <row r="107" customFormat="false" ht="14.25" hidden="false" customHeight="true" outlineLevel="0" collapsed="false">
      <c r="A107" s="6" t="n">
        <v>46311.875</v>
      </c>
      <c r="B107" s="7" t="s">
        <v>48</v>
      </c>
      <c r="C107" s="8" t="n">
        <v>46305</v>
      </c>
      <c r="D107" s="9" t="n">
        <f aca="false">IF(OR(B107="",C107=""),"",IFERROR(C107-INDEX(Films!$C$2:$C$100,MATCH(B107,Films!$A$2:$A$100,0))+1,""))</f>
        <v>2</v>
      </c>
      <c r="E107" s="10" t="n">
        <v>0.9</v>
      </c>
      <c r="F107" s="7" t="s">
        <v>34</v>
      </c>
      <c r="G107" s="7" t="s">
        <v>40</v>
      </c>
      <c r="H107" s="7" t="s">
        <v>41</v>
      </c>
      <c r="I107" s="7" t="s">
        <v>42</v>
      </c>
      <c r="J107" s="9" t="n">
        <f aca="false">IF(B107="","",COUNTIFS($B$2:$B$500,B107,$C$2:$C$500,C107,$F$2:$F$500,F107,$H$2:$H$500,"Trade estimate"))</f>
        <v>2</v>
      </c>
      <c r="K107" s="11" t="n">
        <f aca="false">IF(OR(J107="",J107=0),"",_xlfn.MAXIFS($E$2:$E$500,$B$2:$B$500,B107,$C$2:$C$500,C107,$F$2:$F$500,F107,$H$2:$H$500,"Trade estimate"))</f>
        <v>0.85</v>
      </c>
      <c r="L107" s="11" t="n">
        <f aca="false">IF(OR(J107="",J107=0),"",_xlfn.MINIFS($E$2:$E$500,$B$2:$B$500,B107,$C$2:$C$500,C107,$F$2:$F$500,F107,$H$2:$H$500,"Trade estimate"))</f>
        <v>0.82</v>
      </c>
      <c r="M107" s="12" t="n">
        <f aca="false">IF(OR(J107="",J107&lt;2),"",IF(L107=0,"",(K107-L107)/L107))</f>
        <v>0.0365853658536586</v>
      </c>
      <c r="N107" s="13" t="str">
        <f aca="false">IF(B107="","",IF(J107&lt;2,"Needs 2+ trade sources",IF(M107&gt;Lists!$E$2,"CHECK","OK")))</f>
        <v>OK</v>
      </c>
      <c r="O107" s="9" t="str">
        <f aca="false">IF(B107="","",IF(J107&lt;2,"Needs 2+ trade sources",IF(M107&lt;=Lists!$E$6,"Good",IF(M107&lt;=Lists!$E$2,"Moderate","Bad"))))</f>
        <v>Good</v>
      </c>
    </row>
    <row r="108" customFormat="false" ht="14.25" hidden="false" customHeight="true" outlineLevel="0" collapsed="false">
      <c r="A108" s="6" t="n">
        <v>46311.875</v>
      </c>
      <c r="B108" s="7" t="s">
        <v>48</v>
      </c>
      <c r="C108" s="8" t="n">
        <v>46306</v>
      </c>
      <c r="D108" s="9" t="n">
        <f aca="false">IF(OR(B108="",C108=""),"",IFERROR(C108-INDEX(Films!$C$2:$C$100,MATCH(B108,Films!$A$2:$A$100,0))+1,""))</f>
        <v>3</v>
      </c>
      <c r="E108" s="10" t="n">
        <v>0.95</v>
      </c>
      <c r="F108" s="7" t="s">
        <v>34</v>
      </c>
      <c r="G108" s="7" t="s">
        <v>35</v>
      </c>
      <c r="H108" s="7" t="s">
        <v>36</v>
      </c>
      <c r="I108" s="7" t="s">
        <v>37</v>
      </c>
      <c r="J108" s="9" t="n">
        <f aca="false">IF(B108="","",COUNTIFS($B$2:$B$500,B108,$C$2:$C$500,C108,$F$2:$F$500,F108,$H$2:$H$500,"Trade estimate"))</f>
        <v>2</v>
      </c>
      <c r="K108" s="11" t="n">
        <f aca="false">IF(OR(J108="",J108=0),"",_xlfn.MAXIFS($E$2:$E$500,$B$2:$B$500,B108,$C$2:$C$500,C108,$F$2:$F$500,F108,$H$2:$H$500,"Trade estimate"))</f>
        <v>0.95</v>
      </c>
      <c r="L108" s="11" t="n">
        <f aca="false">IF(OR(J108="",J108=0),"",_xlfn.MINIFS($E$2:$E$500,$B$2:$B$500,B108,$C$2:$C$500,C108,$F$2:$F$500,F108,$H$2:$H$500,"Trade estimate"))</f>
        <v>0.91</v>
      </c>
      <c r="M108" s="12" t="n">
        <f aca="false">IF(OR(J108="",J108&lt;2),"",IF(L108=0,"",(K108-L108)/L108))</f>
        <v>0.0439560439560439</v>
      </c>
      <c r="N108" s="13" t="str">
        <f aca="false">IF(B108="","",IF(J108&lt;2,"Needs 2+ trade sources",IF(M108&gt;Lists!$E$2,"CHECK","OK")))</f>
        <v>OK</v>
      </c>
      <c r="O108" s="9" t="str">
        <f aca="false">IF(B108="","",IF(J108&lt;2,"Needs 2+ trade sources",IF(M108&lt;=Lists!$E$6,"Good",IF(M108&lt;=Lists!$E$2,"Moderate","Bad"))))</f>
        <v>Good</v>
      </c>
    </row>
    <row r="109" customFormat="false" ht="14.25" hidden="false" customHeight="true" outlineLevel="0" collapsed="false">
      <c r="A109" s="6" t="n">
        <v>46311.875</v>
      </c>
      <c r="B109" s="7" t="s">
        <v>48</v>
      </c>
      <c r="C109" s="8" t="n">
        <v>46306</v>
      </c>
      <c r="D109" s="9" t="n">
        <f aca="false">IF(OR(B109="",C109=""),"",IFERROR(C109-INDEX(Films!$C$2:$C$100,MATCH(B109,Films!$A$2:$A$100,0))+1,""))</f>
        <v>3</v>
      </c>
      <c r="E109" s="10" t="n">
        <v>0.91</v>
      </c>
      <c r="F109" s="7" t="s">
        <v>34</v>
      </c>
      <c r="G109" s="7" t="s">
        <v>38</v>
      </c>
      <c r="H109" s="7" t="s">
        <v>36</v>
      </c>
      <c r="I109" s="7" t="s">
        <v>37</v>
      </c>
      <c r="J109" s="9" t="n">
        <f aca="false">IF(B109="","",COUNTIFS($B$2:$B$500,B109,$C$2:$C$500,C109,$F$2:$F$500,F109,$H$2:$H$500,"Trade estimate"))</f>
        <v>2</v>
      </c>
      <c r="K109" s="11" t="n">
        <f aca="false">IF(OR(J109="",J109=0),"",_xlfn.MAXIFS($E$2:$E$500,$B$2:$B$500,B109,$C$2:$C$500,C109,$F$2:$F$500,F109,$H$2:$H$500,"Trade estimate"))</f>
        <v>0.95</v>
      </c>
      <c r="L109" s="11" t="n">
        <f aca="false">IF(OR(J109="",J109=0),"",_xlfn.MINIFS($E$2:$E$500,$B$2:$B$500,B109,$C$2:$C$500,C109,$F$2:$F$500,F109,$H$2:$H$500,"Trade estimate"))</f>
        <v>0.91</v>
      </c>
      <c r="M109" s="12" t="n">
        <f aca="false">IF(OR(J109="",J109&lt;2),"",IF(L109=0,"",(K109-L109)/L109))</f>
        <v>0.0439560439560439</v>
      </c>
      <c r="N109" s="13" t="str">
        <f aca="false">IF(B109="","",IF(J109&lt;2,"Needs 2+ trade sources",IF(M109&gt;Lists!$E$2,"CHECK","OK")))</f>
        <v>OK</v>
      </c>
      <c r="O109" s="9" t="str">
        <f aca="false">IF(B109="","",IF(J109&lt;2,"Needs 2+ trade sources",IF(M109&lt;=Lists!$E$6,"Good",IF(M109&lt;=Lists!$E$2,"Moderate","Bad"))))</f>
        <v>Good</v>
      </c>
    </row>
    <row r="110" customFormat="false" ht="14.25" hidden="false" customHeight="true" outlineLevel="0" collapsed="false">
      <c r="A110" s="6" t="n">
        <v>46311.875</v>
      </c>
      <c r="B110" s="7" t="s">
        <v>48</v>
      </c>
      <c r="C110" s="8" t="n">
        <v>46306</v>
      </c>
      <c r="D110" s="9" t="n">
        <f aca="false">IF(OR(B110="",C110=""),"",IFERROR(C110-INDEX(Films!$C$2:$C$100,MATCH(B110,Films!$A$2:$A$100,0))+1,""))</f>
        <v>3</v>
      </c>
      <c r="E110" s="10" t="n">
        <v>1</v>
      </c>
      <c r="F110" s="7" t="s">
        <v>34</v>
      </c>
      <c r="G110" s="7" t="s">
        <v>40</v>
      </c>
      <c r="H110" s="7" t="s">
        <v>41</v>
      </c>
      <c r="I110" s="7" t="s">
        <v>42</v>
      </c>
      <c r="J110" s="9" t="n">
        <f aca="false">IF(B110="","",COUNTIFS($B$2:$B$500,B110,$C$2:$C$500,C110,$F$2:$F$500,F110,$H$2:$H$500,"Trade estimate"))</f>
        <v>2</v>
      </c>
      <c r="K110" s="11" t="n">
        <f aca="false">IF(OR(J110="",J110=0),"",_xlfn.MAXIFS($E$2:$E$500,$B$2:$B$500,B110,$C$2:$C$500,C110,$F$2:$F$500,F110,$H$2:$H$500,"Trade estimate"))</f>
        <v>0.95</v>
      </c>
      <c r="L110" s="11" t="n">
        <f aca="false">IF(OR(J110="",J110=0),"",_xlfn.MINIFS($E$2:$E$500,$B$2:$B$500,B110,$C$2:$C$500,C110,$F$2:$F$500,F110,$H$2:$H$500,"Trade estimate"))</f>
        <v>0.91</v>
      </c>
      <c r="M110" s="12" t="n">
        <f aca="false">IF(OR(J110="",J110&lt;2),"",IF(L110=0,"",(K110-L110)/L110))</f>
        <v>0.0439560439560439</v>
      </c>
      <c r="N110" s="13" t="str">
        <f aca="false">IF(B110="","",IF(J110&lt;2,"Needs 2+ trade sources",IF(M110&gt;Lists!$E$2,"CHECK","OK")))</f>
        <v>OK</v>
      </c>
      <c r="O110" s="9" t="str">
        <f aca="false">IF(B110="","",IF(J110&lt;2,"Needs 2+ trade sources",IF(M110&lt;=Lists!$E$6,"Good",IF(M110&lt;=Lists!$E$2,"Moderate","Bad"))))</f>
        <v>Good</v>
      </c>
    </row>
    <row r="111" customFormat="false" ht="14.25" hidden="false" customHeight="true" outlineLevel="0" collapsed="false">
      <c r="A111" s="6" t="n">
        <v>46311.875</v>
      </c>
      <c r="B111" s="7" t="s">
        <v>48</v>
      </c>
      <c r="C111" s="8" t="n">
        <v>46307</v>
      </c>
      <c r="D111" s="9" t="n">
        <f aca="false">IF(OR(B111="",C111=""),"",IFERROR(C111-INDEX(Films!$C$2:$C$100,MATCH(B111,Films!$A$2:$A$100,0))+1,""))</f>
        <v>4</v>
      </c>
      <c r="E111" s="10" t="n">
        <v>0.42</v>
      </c>
      <c r="F111" s="7" t="s">
        <v>34</v>
      </c>
      <c r="G111" s="7" t="s">
        <v>35</v>
      </c>
      <c r="H111" s="7" t="s">
        <v>36</v>
      </c>
      <c r="I111" s="7" t="s">
        <v>37</v>
      </c>
      <c r="J111" s="9" t="n">
        <f aca="false">IF(B111="","",COUNTIFS($B$2:$B$500,B111,$C$2:$C$500,C111,$F$2:$F$500,F111,$H$2:$H$500,"Trade estimate"))</f>
        <v>2</v>
      </c>
      <c r="K111" s="11" t="n">
        <f aca="false">IF(OR(J111="",J111=0),"",_xlfn.MAXIFS($E$2:$E$500,$B$2:$B$500,B111,$C$2:$C$500,C111,$F$2:$F$500,F111,$H$2:$H$500,"Trade estimate"))</f>
        <v>0.42</v>
      </c>
      <c r="L111" s="11" t="n">
        <f aca="false">IF(OR(J111="",J111=0),"",_xlfn.MINIFS($E$2:$E$500,$B$2:$B$500,B111,$C$2:$C$500,C111,$F$2:$F$500,F111,$H$2:$H$500,"Trade estimate"))</f>
        <v>0.4</v>
      </c>
      <c r="M111" s="12" t="n">
        <f aca="false">IF(OR(J111="",J111&lt;2),"",IF(L111=0,"",(K111-L111)/L111))</f>
        <v>0.0499999999999999</v>
      </c>
      <c r="N111" s="13" t="str">
        <f aca="false">IF(B111="","",IF(J111&lt;2,"Needs 2+ trade sources",IF(M111&gt;Lists!$E$2,"CHECK","OK")))</f>
        <v>OK</v>
      </c>
      <c r="O111" s="9" t="str">
        <f aca="false">IF(B111="","",IF(J111&lt;2,"Needs 2+ trade sources",IF(M111&lt;=Lists!$E$6,"Good",IF(M111&lt;=Lists!$E$2,"Moderate","Bad"))))</f>
        <v>Good</v>
      </c>
    </row>
    <row r="112" customFormat="false" ht="14.25" hidden="false" customHeight="true" outlineLevel="0" collapsed="false">
      <c r="A112" s="6" t="n">
        <v>46311.875</v>
      </c>
      <c r="B112" s="7" t="s">
        <v>48</v>
      </c>
      <c r="C112" s="8" t="n">
        <v>46307</v>
      </c>
      <c r="D112" s="9" t="n">
        <f aca="false">IF(OR(B112="",C112=""),"",IFERROR(C112-INDEX(Films!$C$2:$C$100,MATCH(B112,Films!$A$2:$A$100,0))+1,""))</f>
        <v>4</v>
      </c>
      <c r="E112" s="10" t="n">
        <v>0.4</v>
      </c>
      <c r="F112" s="7" t="s">
        <v>34</v>
      </c>
      <c r="G112" s="7" t="s">
        <v>38</v>
      </c>
      <c r="H112" s="7" t="s">
        <v>36</v>
      </c>
      <c r="I112" s="7" t="s">
        <v>37</v>
      </c>
      <c r="J112" s="9" t="n">
        <f aca="false">IF(B112="","",COUNTIFS($B$2:$B$500,B112,$C$2:$C$500,C112,$F$2:$F$500,F112,$H$2:$H$500,"Trade estimate"))</f>
        <v>2</v>
      </c>
      <c r="K112" s="11" t="n">
        <f aca="false">IF(OR(J112="",J112=0),"",_xlfn.MAXIFS($E$2:$E$500,$B$2:$B$500,B112,$C$2:$C$500,C112,$F$2:$F$500,F112,$H$2:$H$500,"Trade estimate"))</f>
        <v>0.42</v>
      </c>
      <c r="L112" s="11" t="n">
        <f aca="false">IF(OR(J112="",J112=0),"",_xlfn.MINIFS($E$2:$E$500,$B$2:$B$500,B112,$C$2:$C$500,C112,$F$2:$F$500,F112,$H$2:$H$500,"Trade estimate"))</f>
        <v>0.4</v>
      </c>
      <c r="M112" s="12" t="n">
        <f aca="false">IF(OR(J112="",J112&lt;2),"",IF(L112=0,"",(K112-L112)/L112))</f>
        <v>0.0499999999999999</v>
      </c>
      <c r="N112" s="13" t="str">
        <f aca="false">IF(B112="","",IF(J112&lt;2,"Needs 2+ trade sources",IF(M112&gt;Lists!$E$2,"CHECK","OK")))</f>
        <v>OK</v>
      </c>
      <c r="O112" s="9" t="str">
        <f aca="false">IF(B112="","",IF(J112&lt;2,"Needs 2+ trade sources",IF(M112&lt;=Lists!$E$6,"Good",IF(M112&lt;=Lists!$E$2,"Moderate","Bad"))))</f>
        <v>Good</v>
      </c>
    </row>
    <row r="113" customFormat="false" ht="14.25" hidden="false" customHeight="true" outlineLevel="0" collapsed="false">
      <c r="A113" s="6" t="n">
        <v>46311.875</v>
      </c>
      <c r="B113" s="7" t="s">
        <v>48</v>
      </c>
      <c r="C113" s="8" t="n">
        <v>46307</v>
      </c>
      <c r="D113" s="9" t="n">
        <f aca="false">IF(OR(B113="",C113=""),"",IFERROR(C113-INDEX(Films!$C$2:$C$100,MATCH(B113,Films!$A$2:$A$100,0))+1,""))</f>
        <v>4</v>
      </c>
      <c r="E113" s="10" t="n">
        <v>0.45</v>
      </c>
      <c r="F113" s="7" t="s">
        <v>34</v>
      </c>
      <c r="G113" s="7" t="s">
        <v>40</v>
      </c>
      <c r="H113" s="7" t="s">
        <v>41</v>
      </c>
      <c r="I113" s="7" t="s">
        <v>42</v>
      </c>
      <c r="J113" s="9" t="n">
        <f aca="false">IF(B113="","",COUNTIFS($B$2:$B$500,B113,$C$2:$C$500,C113,$F$2:$F$500,F113,$H$2:$H$500,"Trade estimate"))</f>
        <v>2</v>
      </c>
      <c r="K113" s="11" t="n">
        <f aca="false">IF(OR(J113="",J113=0),"",_xlfn.MAXIFS($E$2:$E$500,$B$2:$B$500,B113,$C$2:$C$500,C113,$F$2:$F$500,F113,$H$2:$H$500,"Trade estimate"))</f>
        <v>0.42</v>
      </c>
      <c r="L113" s="11" t="n">
        <f aca="false">IF(OR(J113="",J113=0),"",_xlfn.MINIFS($E$2:$E$500,$B$2:$B$500,B113,$C$2:$C$500,C113,$F$2:$F$500,F113,$H$2:$H$500,"Trade estimate"))</f>
        <v>0.4</v>
      </c>
      <c r="M113" s="12" t="n">
        <f aca="false">IF(OR(J113="",J113&lt;2),"",IF(L113=0,"",(K113-L113)/L113))</f>
        <v>0.0499999999999999</v>
      </c>
      <c r="N113" s="13" t="str">
        <f aca="false">IF(B113="","",IF(J113&lt;2,"Needs 2+ trade sources",IF(M113&gt;Lists!$E$2,"CHECK","OK")))</f>
        <v>OK</v>
      </c>
      <c r="O113" s="9" t="str">
        <f aca="false">IF(B113="","",IF(J113&lt;2,"Needs 2+ trade sources",IF(M113&lt;=Lists!$E$6,"Good",IF(M113&lt;=Lists!$E$2,"Moderate","Bad"))))</f>
        <v>Good</v>
      </c>
    </row>
    <row r="114" customFormat="false" ht="14.25" hidden="false" customHeight="true" outlineLevel="0" collapsed="false">
      <c r="A114" s="6" t="n">
        <v>46311.875</v>
      </c>
      <c r="B114" s="7" t="s">
        <v>48</v>
      </c>
      <c r="C114" s="8" t="n">
        <v>46308</v>
      </c>
      <c r="D114" s="9" t="n">
        <f aca="false">IF(OR(B114="",C114=""),"",IFERROR(C114-INDEX(Films!$C$2:$C$100,MATCH(B114,Films!$A$2:$A$100,0))+1,""))</f>
        <v>5</v>
      </c>
      <c r="E114" s="10" t="n">
        <v>0.38</v>
      </c>
      <c r="F114" s="7" t="s">
        <v>34</v>
      </c>
      <c r="G114" s="7" t="s">
        <v>35</v>
      </c>
      <c r="H114" s="7" t="s">
        <v>36</v>
      </c>
      <c r="I114" s="7" t="s">
        <v>37</v>
      </c>
      <c r="J114" s="9" t="n">
        <f aca="false">IF(B114="","",COUNTIFS($B$2:$B$500,B114,$C$2:$C$500,C114,$F$2:$F$500,F114,$H$2:$H$500,"Trade estimate"))</f>
        <v>2</v>
      </c>
      <c r="K114" s="11" t="n">
        <f aca="false">IF(OR(J114="",J114=0),"",_xlfn.MAXIFS($E$2:$E$500,$B$2:$B$500,B114,$C$2:$C$500,C114,$F$2:$F$500,F114,$H$2:$H$500,"Trade estimate"))</f>
        <v>0.38</v>
      </c>
      <c r="L114" s="11" t="n">
        <f aca="false">IF(OR(J114="",J114=0),"",_xlfn.MINIFS($E$2:$E$500,$B$2:$B$500,B114,$C$2:$C$500,C114,$F$2:$F$500,F114,$H$2:$H$500,"Trade estimate"))</f>
        <v>0.36</v>
      </c>
      <c r="M114" s="12" t="n">
        <f aca="false">IF(OR(J114="",J114&lt;2),"",IF(L114=0,"",(K114-L114)/L114))</f>
        <v>0.0555555555555556</v>
      </c>
      <c r="N114" s="13" t="str">
        <f aca="false">IF(B114="","",IF(J114&lt;2,"Needs 2+ trade sources",IF(M114&gt;Lists!$E$2,"CHECK","OK")))</f>
        <v>OK</v>
      </c>
      <c r="O114" s="9" t="str">
        <f aca="false">IF(B114="","",IF(J114&lt;2,"Needs 2+ trade sources",IF(M114&lt;=Lists!$E$6,"Good",IF(M114&lt;=Lists!$E$2,"Moderate","Bad"))))</f>
        <v>Moderate</v>
      </c>
    </row>
    <row r="115" customFormat="false" ht="14.25" hidden="false" customHeight="true" outlineLevel="0" collapsed="false">
      <c r="A115" s="6" t="n">
        <v>46311.875</v>
      </c>
      <c r="B115" s="7" t="s">
        <v>48</v>
      </c>
      <c r="C115" s="8" t="n">
        <v>46308</v>
      </c>
      <c r="D115" s="9" t="n">
        <f aca="false">IF(OR(B115="",C115=""),"",IFERROR(C115-INDEX(Films!$C$2:$C$100,MATCH(B115,Films!$A$2:$A$100,0))+1,""))</f>
        <v>5</v>
      </c>
      <c r="E115" s="10" t="n">
        <v>0.36</v>
      </c>
      <c r="F115" s="7" t="s">
        <v>34</v>
      </c>
      <c r="G115" s="7" t="s">
        <v>38</v>
      </c>
      <c r="H115" s="7" t="s">
        <v>36</v>
      </c>
      <c r="I115" s="7" t="s">
        <v>37</v>
      </c>
      <c r="J115" s="9" t="n">
        <f aca="false">IF(B115="","",COUNTIFS($B$2:$B$500,B115,$C$2:$C$500,C115,$F$2:$F$500,F115,$H$2:$H$500,"Trade estimate"))</f>
        <v>2</v>
      </c>
      <c r="K115" s="11" t="n">
        <f aca="false">IF(OR(J115="",J115=0),"",_xlfn.MAXIFS($E$2:$E$500,$B$2:$B$500,B115,$C$2:$C$500,C115,$F$2:$F$500,F115,$H$2:$H$500,"Trade estimate"))</f>
        <v>0.38</v>
      </c>
      <c r="L115" s="11" t="n">
        <f aca="false">IF(OR(J115="",J115=0),"",_xlfn.MINIFS($E$2:$E$500,$B$2:$B$500,B115,$C$2:$C$500,C115,$F$2:$F$500,F115,$H$2:$H$500,"Trade estimate"))</f>
        <v>0.36</v>
      </c>
      <c r="M115" s="12" t="n">
        <f aca="false">IF(OR(J115="",J115&lt;2),"",IF(L115=0,"",(K115-L115)/L115))</f>
        <v>0.0555555555555556</v>
      </c>
      <c r="N115" s="13" t="str">
        <f aca="false">IF(B115="","",IF(J115&lt;2,"Needs 2+ trade sources",IF(M115&gt;Lists!$E$2,"CHECK","OK")))</f>
        <v>OK</v>
      </c>
      <c r="O115" s="9" t="str">
        <f aca="false">IF(B115="","",IF(J115&lt;2,"Needs 2+ trade sources",IF(M115&lt;=Lists!$E$6,"Good",IF(M115&lt;=Lists!$E$2,"Moderate","Bad"))))</f>
        <v>Moderate</v>
      </c>
    </row>
    <row r="116" customFormat="false" ht="14.25" hidden="false" customHeight="true" outlineLevel="0" collapsed="false">
      <c r="A116" s="6" t="n">
        <v>46311.875</v>
      </c>
      <c r="B116" s="7" t="s">
        <v>48</v>
      </c>
      <c r="C116" s="8" t="n">
        <v>46308</v>
      </c>
      <c r="D116" s="9" t="n">
        <f aca="false">IF(OR(B116="",C116=""),"",IFERROR(C116-INDEX(Films!$C$2:$C$100,MATCH(B116,Films!$A$2:$A$100,0))+1,""))</f>
        <v>5</v>
      </c>
      <c r="E116" s="10" t="n">
        <v>0.4</v>
      </c>
      <c r="F116" s="7" t="s">
        <v>34</v>
      </c>
      <c r="G116" s="7" t="s">
        <v>40</v>
      </c>
      <c r="H116" s="7" t="s">
        <v>41</v>
      </c>
      <c r="I116" s="7" t="s">
        <v>42</v>
      </c>
      <c r="J116" s="9" t="n">
        <f aca="false">IF(B116="","",COUNTIFS($B$2:$B$500,B116,$C$2:$C$500,C116,$F$2:$F$500,F116,$H$2:$H$500,"Trade estimate"))</f>
        <v>2</v>
      </c>
      <c r="K116" s="11" t="n">
        <f aca="false">IF(OR(J116="",J116=0),"",_xlfn.MAXIFS($E$2:$E$500,$B$2:$B$500,B116,$C$2:$C$500,C116,$F$2:$F$500,F116,$H$2:$H$500,"Trade estimate"))</f>
        <v>0.38</v>
      </c>
      <c r="L116" s="11" t="n">
        <f aca="false">IF(OR(J116="",J116=0),"",_xlfn.MINIFS($E$2:$E$500,$B$2:$B$500,B116,$C$2:$C$500,C116,$F$2:$F$500,F116,$H$2:$H$500,"Trade estimate"))</f>
        <v>0.36</v>
      </c>
      <c r="M116" s="12" t="n">
        <f aca="false">IF(OR(J116="",J116&lt;2),"",IF(L116=0,"",(K116-L116)/L116))</f>
        <v>0.0555555555555556</v>
      </c>
      <c r="N116" s="13" t="str">
        <f aca="false">IF(B116="","",IF(J116&lt;2,"Needs 2+ trade sources",IF(M116&gt;Lists!$E$2,"CHECK","OK")))</f>
        <v>OK</v>
      </c>
      <c r="O116" s="9" t="str">
        <f aca="false">IF(B116="","",IF(J116&lt;2,"Needs 2+ trade sources",IF(M116&lt;=Lists!$E$6,"Good",IF(M116&lt;=Lists!$E$2,"Moderate","Bad"))))</f>
        <v>Moderate</v>
      </c>
    </row>
    <row r="117" customFormat="false" ht="14.25" hidden="false" customHeight="true" outlineLevel="0" collapsed="false">
      <c r="A117" s="6" t="n">
        <v>46311.875</v>
      </c>
      <c r="B117" s="7" t="s">
        <v>48</v>
      </c>
      <c r="C117" s="8" t="n">
        <v>46309</v>
      </c>
      <c r="D117" s="9" t="n">
        <f aca="false">IF(OR(B117="",C117=""),"",IFERROR(C117-INDEX(Films!$C$2:$C$100,MATCH(B117,Films!$A$2:$A$100,0))+1,""))</f>
        <v>6</v>
      </c>
      <c r="E117" s="10" t="n">
        <v>0.35</v>
      </c>
      <c r="F117" s="7" t="s">
        <v>34</v>
      </c>
      <c r="G117" s="7" t="s">
        <v>35</v>
      </c>
      <c r="H117" s="7" t="s">
        <v>36</v>
      </c>
      <c r="I117" s="7" t="s">
        <v>37</v>
      </c>
      <c r="J117" s="9" t="n">
        <f aca="false">IF(B117="","",COUNTIFS($B$2:$B$500,B117,$C$2:$C$500,C117,$F$2:$F$500,F117,$H$2:$H$500,"Trade estimate"))</f>
        <v>2</v>
      </c>
      <c r="K117" s="11" t="n">
        <f aca="false">IF(OR(J117="",J117=0),"",_xlfn.MAXIFS($E$2:$E$500,$B$2:$B$500,B117,$C$2:$C$500,C117,$F$2:$F$500,F117,$H$2:$H$500,"Trade estimate"))</f>
        <v>0.35</v>
      </c>
      <c r="L117" s="11" t="n">
        <f aca="false">IF(OR(J117="",J117=0),"",_xlfn.MINIFS($E$2:$E$500,$B$2:$B$500,B117,$C$2:$C$500,C117,$F$2:$F$500,F117,$H$2:$H$500,"Trade estimate"))</f>
        <v>0.34</v>
      </c>
      <c r="M117" s="12" t="n">
        <f aca="false">IF(OR(J117="",J117&lt;2),"",IF(L117=0,"",(K117-L117)/L117))</f>
        <v>0.0294117647058822</v>
      </c>
      <c r="N117" s="13" t="str">
        <f aca="false">IF(B117="","",IF(J117&lt;2,"Needs 2+ trade sources",IF(M117&gt;Lists!$E$2,"CHECK","OK")))</f>
        <v>OK</v>
      </c>
      <c r="O117" s="9" t="str">
        <f aca="false">IF(B117="","",IF(J117&lt;2,"Needs 2+ trade sources",IF(M117&lt;=Lists!$E$6,"Good",IF(M117&lt;=Lists!$E$2,"Moderate","Bad"))))</f>
        <v>Good</v>
      </c>
    </row>
    <row r="118" customFormat="false" ht="14.25" hidden="false" customHeight="true" outlineLevel="0" collapsed="false">
      <c r="A118" s="6" t="n">
        <v>46311.875</v>
      </c>
      <c r="B118" s="7" t="s">
        <v>48</v>
      </c>
      <c r="C118" s="8" t="n">
        <v>46309</v>
      </c>
      <c r="D118" s="9" t="n">
        <f aca="false">IF(OR(B118="",C118=""),"",IFERROR(C118-INDEX(Films!$C$2:$C$100,MATCH(B118,Films!$A$2:$A$100,0))+1,""))</f>
        <v>6</v>
      </c>
      <c r="E118" s="10" t="n">
        <v>0.34</v>
      </c>
      <c r="F118" s="7" t="s">
        <v>34</v>
      </c>
      <c r="G118" s="7" t="s">
        <v>38</v>
      </c>
      <c r="H118" s="7" t="s">
        <v>36</v>
      </c>
      <c r="I118" s="7" t="s">
        <v>37</v>
      </c>
      <c r="J118" s="9" t="n">
        <f aca="false">IF(B118="","",COUNTIFS($B$2:$B$500,B118,$C$2:$C$500,C118,$F$2:$F$500,F118,$H$2:$H$500,"Trade estimate"))</f>
        <v>2</v>
      </c>
      <c r="K118" s="11" t="n">
        <f aca="false">IF(OR(J118="",J118=0),"",_xlfn.MAXIFS($E$2:$E$500,$B$2:$B$500,B118,$C$2:$C$500,C118,$F$2:$F$500,F118,$H$2:$H$500,"Trade estimate"))</f>
        <v>0.35</v>
      </c>
      <c r="L118" s="11" t="n">
        <f aca="false">IF(OR(J118="",J118=0),"",_xlfn.MINIFS($E$2:$E$500,$B$2:$B$500,B118,$C$2:$C$500,C118,$F$2:$F$500,F118,$H$2:$H$500,"Trade estimate"))</f>
        <v>0.34</v>
      </c>
      <c r="M118" s="12" t="n">
        <f aca="false">IF(OR(J118="",J118&lt;2),"",IF(L118=0,"",(K118-L118)/L118))</f>
        <v>0.0294117647058822</v>
      </c>
      <c r="N118" s="13" t="str">
        <f aca="false">IF(B118="","",IF(J118&lt;2,"Needs 2+ trade sources",IF(M118&gt;Lists!$E$2,"CHECK","OK")))</f>
        <v>OK</v>
      </c>
      <c r="O118" s="9" t="str">
        <f aca="false">IF(B118="","",IF(J118&lt;2,"Needs 2+ trade sources",IF(M118&lt;=Lists!$E$6,"Good",IF(M118&lt;=Lists!$E$2,"Moderate","Bad"))))</f>
        <v>Good</v>
      </c>
    </row>
    <row r="119" customFormat="false" ht="14.25" hidden="false" customHeight="true" outlineLevel="0" collapsed="false">
      <c r="A119" s="6" t="n">
        <v>46311.875</v>
      </c>
      <c r="B119" s="7" t="s">
        <v>48</v>
      </c>
      <c r="C119" s="8" t="n">
        <v>46309</v>
      </c>
      <c r="D119" s="9" t="n">
        <f aca="false">IF(OR(B119="",C119=""),"",IFERROR(C119-INDEX(Films!$C$2:$C$100,MATCH(B119,Films!$A$2:$A$100,0))+1,""))</f>
        <v>6</v>
      </c>
      <c r="E119" s="10" t="n">
        <v>0.38</v>
      </c>
      <c r="F119" s="7" t="s">
        <v>34</v>
      </c>
      <c r="G119" s="7" t="s">
        <v>40</v>
      </c>
      <c r="H119" s="7" t="s">
        <v>41</v>
      </c>
      <c r="I119" s="7" t="s">
        <v>42</v>
      </c>
      <c r="J119" s="9" t="n">
        <f aca="false">IF(B119="","",COUNTIFS($B$2:$B$500,B119,$C$2:$C$500,C119,$F$2:$F$500,F119,$H$2:$H$500,"Trade estimate"))</f>
        <v>2</v>
      </c>
      <c r="K119" s="11" t="n">
        <f aca="false">IF(OR(J119="",J119=0),"",_xlfn.MAXIFS($E$2:$E$500,$B$2:$B$500,B119,$C$2:$C$500,C119,$F$2:$F$500,F119,$H$2:$H$500,"Trade estimate"))</f>
        <v>0.35</v>
      </c>
      <c r="L119" s="11" t="n">
        <f aca="false">IF(OR(J119="",J119=0),"",_xlfn.MINIFS($E$2:$E$500,$B$2:$B$500,B119,$C$2:$C$500,C119,$F$2:$F$500,F119,$H$2:$H$500,"Trade estimate"))</f>
        <v>0.34</v>
      </c>
      <c r="M119" s="12" t="n">
        <f aca="false">IF(OR(J119="",J119&lt;2),"",IF(L119=0,"",(K119-L119)/L119))</f>
        <v>0.0294117647058822</v>
      </c>
      <c r="N119" s="13" t="str">
        <f aca="false">IF(B119="","",IF(J119&lt;2,"Needs 2+ trade sources",IF(M119&gt;Lists!$E$2,"CHECK","OK")))</f>
        <v>OK</v>
      </c>
      <c r="O119" s="9" t="str">
        <f aca="false">IF(B119="","",IF(J119&lt;2,"Needs 2+ trade sources",IF(M119&lt;=Lists!$E$6,"Good",IF(M119&lt;=Lists!$E$2,"Moderate","Bad"))))</f>
        <v>Good</v>
      </c>
    </row>
    <row r="120" customFormat="false" ht="14.25" hidden="false" customHeight="true" outlineLevel="0" collapsed="false">
      <c r="A120" s="6" t="n">
        <v>46311.875</v>
      </c>
      <c r="B120" s="7" t="s">
        <v>48</v>
      </c>
      <c r="C120" s="8" t="n">
        <v>46310</v>
      </c>
      <c r="D120" s="9" t="n">
        <f aca="false">IF(OR(B120="",C120=""),"",IFERROR(C120-INDEX(Films!$C$2:$C$100,MATCH(B120,Films!$A$2:$A$100,0))+1,""))</f>
        <v>7</v>
      </c>
      <c r="E120" s="10" t="n">
        <v>0.34</v>
      </c>
      <c r="F120" s="7" t="s">
        <v>34</v>
      </c>
      <c r="G120" s="7" t="s">
        <v>35</v>
      </c>
      <c r="H120" s="7" t="s">
        <v>36</v>
      </c>
      <c r="I120" s="7" t="s">
        <v>37</v>
      </c>
      <c r="J120" s="9" t="n">
        <f aca="false">IF(B120="","",COUNTIFS($B$2:$B$500,B120,$C$2:$C$500,C120,$F$2:$F$500,F120,$H$2:$H$500,"Trade estimate"))</f>
        <v>2</v>
      </c>
      <c r="K120" s="11" t="n">
        <f aca="false">IF(OR(J120="",J120=0),"",_xlfn.MAXIFS($E$2:$E$500,$B$2:$B$500,B120,$C$2:$C$500,C120,$F$2:$F$500,F120,$H$2:$H$500,"Trade estimate"))</f>
        <v>0.34</v>
      </c>
      <c r="L120" s="11" t="n">
        <f aca="false">IF(OR(J120="",J120=0),"",_xlfn.MINIFS($E$2:$E$500,$B$2:$B$500,B120,$C$2:$C$500,C120,$F$2:$F$500,F120,$H$2:$H$500,"Trade estimate"))</f>
        <v>0.32</v>
      </c>
      <c r="M120" s="12" t="n">
        <f aca="false">IF(OR(J120="",J120&lt;2),"",IF(L120=0,"",(K120-L120)/L120))</f>
        <v>0.0625000000000001</v>
      </c>
      <c r="N120" s="13" t="str">
        <f aca="false">IF(B120="","",IF(J120&lt;2,"Needs 2+ trade sources",IF(M120&gt;Lists!$E$2,"CHECK","OK")))</f>
        <v>OK</v>
      </c>
      <c r="O120" s="9" t="str">
        <f aca="false">IF(B120="","",IF(J120&lt;2,"Needs 2+ trade sources",IF(M120&lt;=Lists!$E$6,"Good",IF(M120&lt;=Lists!$E$2,"Moderate","Bad"))))</f>
        <v>Moderate</v>
      </c>
    </row>
    <row r="121" customFormat="false" ht="14.25" hidden="false" customHeight="true" outlineLevel="0" collapsed="false">
      <c r="A121" s="6" t="n">
        <v>46311.875</v>
      </c>
      <c r="B121" s="7" t="s">
        <v>48</v>
      </c>
      <c r="C121" s="8" t="n">
        <v>46310</v>
      </c>
      <c r="D121" s="9" t="n">
        <f aca="false">IF(OR(B121="",C121=""),"",IFERROR(C121-INDEX(Films!$C$2:$C$100,MATCH(B121,Films!$A$2:$A$100,0))+1,""))</f>
        <v>7</v>
      </c>
      <c r="E121" s="10" t="n">
        <v>0.32</v>
      </c>
      <c r="F121" s="7" t="s">
        <v>34</v>
      </c>
      <c r="G121" s="7" t="s">
        <v>38</v>
      </c>
      <c r="H121" s="7" t="s">
        <v>36</v>
      </c>
      <c r="I121" s="7" t="s">
        <v>37</v>
      </c>
      <c r="J121" s="9" t="n">
        <f aca="false">IF(B121="","",COUNTIFS($B$2:$B$500,B121,$C$2:$C$500,C121,$F$2:$F$500,F121,$H$2:$H$500,"Trade estimate"))</f>
        <v>2</v>
      </c>
      <c r="K121" s="11" t="n">
        <f aca="false">IF(OR(J121="",J121=0),"",_xlfn.MAXIFS($E$2:$E$500,$B$2:$B$500,B121,$C$2:$C$500,C121,$F$2:$F$500,F121,$H$2:$H$500,"Trade estimate"))</f>
        <v>0.34</v>
      </c>
      <c r="L121" s="11" t="n">
        <f aca="false">IF(OR(J121="",J121=0),"",_xlfn.MINIFS($E$2:$E$500,$B$2:$B$500,B121,$C$2:$C$500,C121,$F$2:$F$500,F121,$H$2:$H$500,"Trade estimate"))</f>
        <v>0.32</v>
      </c>
      <c r="M121" s="12" t="n">
        <f aca="false">IF(OR(J121="",J121&lt;2),"",IF(L121=0,"",(K121-L121)/L121))</f>
        <v>0.0625000000000001</v>
      </c>
      <c r="N121" s="13" t="str">
        <f aca="false">IF(B121="","",IF(J121&lt;2,"Needs 2+ trade sources",IF(M121&gt;Lists!$E$2,"CHECK","OK")))</f>
        <v>OK</v>
      </c>
      <c r="O121" s="9" t="str">
        <f aca="false">IF(B121="","",IF(J121&lt;2,"Needs 2+ trade sources",IF(M121&lt;=Lists!$E$6,"Good",IF(M121&lt;=Lists!$E$2,"Moderate","Bad"))))</f>
        <v>Moderate</v>
      </c>
    </row>
    <row r="122" customFormat="false" ht="14.25" hidden="false" customHeight="true" outlineLevel="0" collapsed="false">
      <c r="A122" s="6" t="n">
        <v>46311.875</v>
      </c>
      <c r="B122" s="7" t="s">
        <v>48</v>
      </c>
      <c r="C122" s="8" t="n">
        <v>46310</v>
      </c>
      <c r="D122" s="9" t="n">
        <f aca="false">IF(OR(B122="",C122=""),"",IFERROR(C122-INDEX(Films!$C$2:$C$100,MATCH(B122,Films!$A$2:$A$100,0))+1,""))</f>
        <v>7</v>
      </c>
      <c r="E122" s="10" t="n">
        <v>0.36</v>
      </c>
      <c r="F122" s="7" t="s">
        <v>34</v>
      </c>
      <c r="G122" s="7" t="s">
        <v>40</v>
      </c>
      <c r="H122" s="7" t="s">
        <v>41</v>
      </c>
      <c r="I122" s="7" t="s">
        <v>42</v>
      </c>
      <c r="J122" s="9" t="n">
        <f aca="false">IF(B122="","",COUNTIFS($B$2:$B$500,B122,$C$2:$C$500,C122,$F$2:$F$500,F122,$H$2:$H$500,"Trade estimate"))</f>
        <v>2</v>
      </c>
      <c r="K122" s="11" t="n">
        <f aca="false">IF(OR(J122="",J122=0),"",_xlfn.MAXIFS($E$2:$E$500,$B$2:$B$500,B122,$C$2:$C$500,C122,$F$2:$F$500,F122,$H$2:$H$500,"Trade estimate"))</f>
        <v>0.34</v>
      </c>
      <c r="L122" s="11" t="n">
        <f aca="false">IF(OR(J122="",J122=0),"",_xlfn.MINIFS($E$2:$E$500,$B$2:$B$500,B122,$C$2:$C$500,C122,$F$2:$F$500,F122,$H$2:$H$500,"Trade estimate"))</f>
        <v>0.32</v>
      </c>
      <c r="M122" s="12" t="n">
        <f aca="false">IF(OR(J122="",J122&lt;2),"",IF(L122=0,"",(K122-L122)/L122))</f>
        <v>0.0625000000000001</v>
      </c>
      <c r="N122" s="13" t="str">
        <f aca="false">IF(B122="","",IF(J122&lt;2,"Needs 2+ trade sources",IF(M122&gt;Lists!$E$2,"CHECK","OK")))</f>
        <v>OK</v>
      </c>
      <c r="O122" s="9" t="str">
        <f aca="false">IF(B122="","",IF(J122&lt;2,"Needs 2+ trade sources",IF(M122&lt;=Lists!$E$6,"Good",IF(M122&lt;=Lists!$E$2,"Moderate","Bad"))))</f>
        <v>Moderate</v>
      </c>
    </row>
    <row r="123" customFormat="false" ht="14.25" hidden="false" customHeight="true" outlineLevel="0" collapsed="false">
      <c r="A123" s="6" t="n">
        <v>46311.875</v>
      </c>
      <c r="B123" s="7" t="s">
        <v>49</v>
      </c>
      <c r="C123" s="8" t="n">
        <v>46311</v>
      </c>
      <c r="D123" s="9" t="n">
        <f aca="false">IF(OR(B123="",C123=""),"",IFERROR(C123-INDEX(Films!$C$2:$C$100,MATCH(B123,Films!$A$2:$A$100,0))+1,""))</f>
        <v>1</v>
      </c>
      <c r="E123" s="10" t="n">
        <v>2.45</v>
      </c>
      <c r="F123" s="7" t="s">
        <v>34</v>
      </c>
      <c r="G123" s="7" t="s">
        <v>35</v>
      </c>
      <c r="H123" s="7" t="s">
        <v>36</v>
      </c>
      <c r="I123" s="7" t="s">
        <v>37</v>
      </c>
      <c r="J123" s="9" t="n">
        <f aca="false">IF(B123="","",COUNTIFS($B$2:$B$500,B123,$C$2:$C$500,C123,$F$2:$F$500,F123,$H$2:$H$500,"Trade estimate"))</f>
        <v>3</v>
      </c>
      <c r="K123" s="11" t="n">
        <f aca="false">IF(OR(J123="",J123=0),"",_xlfn.MAXIFS($E$2:$E$500,$B$2:$B$500,B123,$C$2:$C$500,C123,$F$2:$F$500,F123,$H$2:$H$500,"Trade estimate"))</f>
        <v>2.45</v>
      </c>
      <c r="L123" s="11" t="n">
        <f aca="false">IF(OR(J123="",J123=0),"",_xlfn.MINIFS($E$2:$E$500,$B$2:$B$500,B123,$C$2:$C$500,C123,$F$2:$F$500,F123,$H$2:$H$500,"Trade estimate"))</f>
        <v>2.1</v>
      </c>
      <c r="M123" s="12" t="n">
        <f aca="false">IF(OR(J123="",J123&lt;2),"",IF(L123=0,"",(K123-L123)/L123))</f>
        <v>0.166666666666667</v>
      </c>
      <c r="N123" s="13" t="str">
        <f aca="false">IF(B123="","",IF(J123&lt;2,"Needs 2+ trade sources",IF(M123&gt;Lists!$E$2,"CHECK","OK")))</f>
        <v>CHECK</v>
      </c>
      <c r="O123" s="9" t="str">
        <f aca="false">IF(B123="","",IF(J123&lt;2,"Needs 2+ trade sources",IF(M123&lt;=Lists!$E$6,"Good",IF(M123&lt;=Lists!$E$2,"Moderate","Bad"))))</f>
        <v>Bad</v>
      </c>
    </row>
    <row r="124" customFormat="false" ht="14.25" hidden="false" customHeight="true" outlineLevel="0" collapsed="false">
      <c r="A124" s="6" t="n">
        <v>46311.875</v>
      </c>
      <c r="B124" s="7" t="s">
        <v>49</v>
      </c>
      <c r="C124" s="8" t="n">
        <v>46311</v>
      </c>
      <c r="D124" s="9" t="n">
        <f aca="false">IF(OR(B124="",C124=""),"",IFERROR(C124-INDEX(Films!$C$2:$C$100,MATCH(B124,Films!$A$2:$A$100,0))+1,""))</f>
        <v>1</v>
      </c>
      <c r="E124" s="10" t="n">
        <v>2.25</v>
      </c>
      <c r="F124" s="7" t="s">
        <v>34</v>
      </c>
      <c r="G124" s="7" t="s">
        <v>38</v>
      </c>
      <c r="H124" s="7" t="s">
        <v>36</v>
      </c>
      <c r="I124" s="7" t="s">
        <v>37</v>
      </c>
      <c r="J124" s="9" t="n">
        <f aca="false">IF(B124="","",COUNTIFS($B$2:$B$500,B124,$C$2:$C$500,C124,$F$2:$F$500,F124,$H$2:$H$500,"Trade estimate"))</f>
        <v>3</v>
      </c>
      <c r="K124" s="11" t="n">
        <f aca="false">IF(OR(J124="",J124=0),"",_xlfn.MAXIFS($E$2:$E$500,$B$2:$B$500,B124,$C$2:$C$500,C124,$F$2:$F$500,F124,$H$2:$H$500,"Trade estimate"))</f>
        <v>2.45</v>
      </c>
      <c r="L124" s="11" t="n">
        <f aca="false">IF(OR(J124="",J124=0),"",_xlfn.MINIFS($E$2:$E$500,$B$2:$B$500,B124,$C$2:$C$500,C124,$F$2:$F$500,F124,$H$2:$H$500,"Trade estimate"))</f>
        <v>2.1</v>
      </c>
      <c r="M124" s="12" t="n">
        <f aca="false">IF(OR(J124="",J124&lt;2),"",IF(L124=0,"",(K124-L124)/L124))</f>
        <v>0.166666666666667</v>
      </c>
      <c r="N124" s="13" t="str">
        <f aca="false">IF(B124="","",IF(J124&lt;2,"Needs 2+ trade sources",IF(M124&gt;Lists!$E$2,"CHECK","OK")))</f>
        <v>CHECK</v>
      </c>
      <c r="O124" s="9" t="str">
        <f aca="false">IF(B124="","",IF(J124&lt;2,"Needs 2+ trade sources",IF(M124&lt;=Lists!$E$6,"Good",IF(M124&lt;=Lists!$E$2,"Moderate","Bad"))))</f>
        <v>Bad</v>
      </c>
    </row>
    <row r="125" customFormat="false" ht="14.25" hidden="false" customHeight="true" outlineLevel="0" collapsed="false">
      <c r="A125" s="6" t="n">
        <v>46311.875</v>
      </c>
      <c r="B125" s="7" t="s">
        <v>49</v>
      </c>
      <c r="C125" s="8" t="n">
        <v>46311</v>
      </c>
      <c r="D125" s="9" t="n">
        <f aca="false">IF(OR(B125="",C125=""),"",IFERROR(C125-INDEX(Films!$C$2:$C$100,MATCH(B125,Films!$A$2:$A$100,0))+1,""))</f>
        <v>1</v>
      </c>
      <c r="E125" s="10" t="n">
        <v>2.1</v>
      </c>
      <c r="F125" s="7" t="s">
        <v>34</v>
      </c>
      <c r="G125" s="7" t="s">
        <v>39</v>
      </c>
      <c r="H125" s="7" t="s">
        <v>36</v>
      </c>
      <c r="I125" s="7" t="s">
        <v>37</v>
      </c>
      <c r="J125" s="9" t="n">
        <f aca="false">IF(B125="","",COUNTIFS($B$2:$B$500,B125,$C$2:$C$500,C125,$F$2:$F$500,F125,$H$2:$H$500,"Trade estimate"))</f>
        <v>3</v>
      </c>
      <c r="K125" s="11" t="n">
        <f aca="false">IF(OR(J125="",J125=0),"",_xlfn.MAXIFS($E$2:$E$500,$B$2:$B$500,B125,$C$2:$C$500,C125,$F$2:$F$500,F125,$H$2:$H$500,"Trade estimate"))</f>
        <v>2.45</v>
      </c>
      <c r="L125" s="11" t="n">
        <f aca="false">IF(OR(J125="",J125=0),"",_xlfn.MINIFS($E$2:$E$500,$B$2:$B$500,B125,$C$2:$C$500,C125,$F$2:$F$500,F125,$H$2:$H$500,"Trade estimate"))</f>
        <v>2.1</v>
      </c>
      <c r="M125" s="12" t="n">
        <f aca="false">IF(OR(J125="",J125&lt;2),"",IF(L125=0,"",(K125-L125)/L125))</f>
        <v>0.166666666666667</v>
      </c>
      <c r="N125" s="13" t="str">
        <f aca="false">IF(B125="","",IF(J125&lt;2,"Needs 2+ trade sources",IF(M125&gt;Lists!$E$2,"CHECK","OK")))</f>
        <v>CHECK</v>
      </c>
      <c r="O125" s="9" t="str">
        <f aca="false">IF(B125="","",IF(J125&lt;2,"Needs 2+ trade sources",IF(M125&lt;=Lists!$E$6,"Good",IF(M125&lt;=Lists!$E$2,"Moderate","Bad"))))</f>
        <v>Bad</v>
      </c>
    </row>
    <row r="126" customFormat="false" ht="14.25" hidden="false" customHeight="true" outlineLevel="0" collapsed="false">
      <c r="A126" s="6" t="n">
        <v>46311.875</v>
      </c>
      <c r="B126" s="7" t="s">
        <v>49</v>
      </c>
      <c r="C126" s="8" t="n">
        <v>46311</v>
      </c>
      <c r="D126" s="9" t="n">
        <f aca="false">IF(OR(B126="",C126=""),"",IFERROR(C126-INDEX(Films!$C$2:$C$100,MATCH(B126,Films!$A$2:$A$100,0))+1,""))</f>
        <v>1</v>
      </c>
      <c r="E126" s="10" t="n">
        <v>3.1</v>
      </c>
      <c r="F126" s="7" t="s">
        <v>34</v>
      </c>
      <c r="G126" s="7" t="s">
        <v>40</v>
      </c>
      <c r="H126" s="7" t="s">
        <v>41</v>
      </c>
      <c r="I126" s="7" t="s">
        <v>42</v>
      </c>
      <c r="J126" s="9" t="n">
        <f aca="false">IF(B126="","",COUNTIFS($B$2:$B$500,B126,$C$2:$C$500,C126,$F$2:$F$500,F126,$H$2:$H$500,"Trade estimate"))</f>
        <v>3</v>
      </c>
      <c r="K126" s="11" t="n">
        <f aca="false">IF(OR(J126="",J126=0),"",_xlfn.MAXIFS($E$2:$E$500,$B$2:$B$500,B126,$C$2:$C$500,C126,$F$2:$F$500,F126,$H$2:$H$500,"Trade estimate"))</f>
        <v>2.45</v>
      </c>
      <c r="L126" s="11" t="n">
        <f aca="false">IF(OR(J126="",J126=0),"",_xlfn.MINIFS($E$2:$E$500,$B$2:$B$500,B126,$C$2:$C$500,C126,$F$2:$F$500,F126,$H$2:$H$500,"Trade estimate"))</f>
        <v>2.1</v>
      </c>
      <c r="M126" s="12" t="n">
        <f aca="false">IF(OR(J126="",J126&lt;2),"",IF(L126=0,"",(K126-L126)/L126))</f>
        <v>0.166666666666667</v>
      </c>
      <c r="N126" s="13" t="str">
        <f aca="false">IF(B126="","",IF(J126&lt;2,"Needs 2+ trade sources",IF(M126&gt;Lists!$E$2,"CHECK","OK")))</f>
        <v>CHECK</v>
      </c>
      <c r="O126" s="9" t="str">
        <f aca="false">IF(B126="","",IF(J126&lt;2,"Needs 2+ trade sources",IF(M126&lt;=Lists!$E$6,"Good",IF(M126&lt;=Lists!$E$2,"Moderate","Bad"))))</f>
        <v>Bad</v>
      </c>
    </row>
    <row r="127" customFormat="false" ht="14.25" hidden="false" customHeight="true" outlineLevel="0" collapsed="false">
      <c r="A127" s="6" t="n">
        <v>46311.875</v>
      </c>
      <c r="B127" s="7" t="s">
        <v>50</v>
      </c>
      <c r="C127" s="8" t="n">
        <v>46311</v>
      </c>
      <c r="D127" s="9" t="n">
        <f aca="false">IF(OR(B127="",C127=""),"",IFERROR(C127-INDEX(Films!$C$2:$C$100,MATCH(B127,Films!$A$2:$A$100,0))+1,""))</f>
        <v>1</v>
      </c>
      <c r="E127" s="10" t="n">
        <v>0.94</v>
      </c>
      <c r="F127" s="7" t="s">
        <v>34</v>
      </c>
      <c r="G127" s="7" t="s">
        <v>35</v>
      </c>
      <c r="H127" s="7" t="s">
        <v>36</v>
      </c>
      <c r="I127" s="7" t="s">
        <v>37</v>
      </c>
      <c r="J127" s="9" t="n">
        <f aca="false">IF(B127="","",COUNTIFS($B$2:$B$500,B127,$C$2:$C$500,C127,$F$2:$F$500,F127,$H$2:$H$500,"Trade estimate"))</f>
        <v>2</v>
      </c>
      <c r="K127" s="11" t="n">
        <f aca="false">IF(OR(J127="",J127=0),"",_xlfn.MAXIFS($E$2:$E$500,$B$2:$B$500,B127,$C$2:$C$500,C127,$F$2:$F$500,F127,$H$2:$H$500,"Trade estimate"))</f>
        <v>0.94</v>
      </c>
      <c r="L127" s="11" t="n">
        <f aca="false">IF(OR(J127="",J127=0),"",_xlfn.MINIFS($E$2:$E$500,$B$2:$B$500,B127,$C$2:$C$500,C127,$F$2:$F$500,F127,$H$2:$H$500,"Trade estimate"))</f>
        <v>0.88</v>
      </c>
      <c r="M127" s="12" t="n">
        <f aca="false">IF(OR(J127="",J127&lt;2),"",IF(L127=0,"",(K127-L127)/L127))</f>
        <v>0.0681818181818181</v>
      </c>
      <c r="N127" s="13" t="str">
        <f aca="false">IF(B127="","",IF(J127&lt;2,"Needs 2+ trade sources",IF(M127&gt;Lists!$E$2,"CHECK","OK")))</f>
        <v>OK</v>
      </c>
      <c r="O127" s="9" t="str">
        <f aca="false">IF(B127="","",IF(J127&lt;2,"Needs 2+ trade sources",IF(M127&lt;=Lists!$E$6,"Good",IF(M127&lt;=Lists!$E$2,"Moderate","Bad"))))</f>
        <v>Moderate</v>
      </c>
    </row>
    <row r="128" customFormat="false" ht="14.25" hidden="false" customHeight="true" outlineLevel="0" collapsed="false">
      <c r="A128" s="6" t="n">
        <v>46311.875</v>
      </c>
      <c r="B128" s="7" t="s">
        <v>50</v>
      </c>
      <c r="C128" s="8" t="n">
        <v>46311</v>
      </c>
      <c r="D128" s="9" t="n">
        <f aca="false">IF(OR(B128="",C128=""),"",IFERROR(C128-INDEX(Films!$C$2:$C$100,MATCH(B128,Films!$A$2:$A$100,0))+1,""))</f>
        <v>1</v>
      </c>
      <c r="E128" s="10" t="n">
        <v>0.88</v>
      </c>
      <c r="F128" s="7" t="s">
        <v>34</v>
      </c>
      <c r="G128" s="7" t="s">
        <v>39</v>
      </c>
      <c r="H128" s="7" t="s">
        <v>36</v>
      </c>
      <c r="I128" s="7" t="s">
        <v>37</v>
      </c>
      <c r="J128" s="9" t="n">
        <f aca="false">IF(B128="","",COUNTIFS($B$2:$B$500,B128,$C$2:$C$500,C128,$F$2:$F$500,F128,$H$2:$H$500,"Trade estimate"))</f>
        <v>2</v>
      </c>
      <c r="K128" s="11" t="n">
        <f aca="false">IF(OR(J128="",J128=0),"",_xlfn.MAXIFS($E$2:$E$500,$B$2:$B$500,B128,$C$2:$C$500,C128,$F$2:$F$500,F128,$H$2:$H$500,"Trade estimate"))</f>
        <v>0.94</v>
      </c>
      <c r="L128" s="11" t="n">
        <f aca="false">IF(OR(J128="",J128=0),"",_xlfn.MINIFS($E$2:$E$500,$B$2:$B$500,B128,$C$2:$C$500,C128,$F$2:$F$500,F128,$H$2:$H$500,"Trade estimate"))</f>
        <v>0.88</v>
      </c>
      <c r="M128" s="12" t="n">
        <f aca="false">IF(OR(J128="",J128&lt;2),"",IF(L128=0,"",(K128-L128)/L128))</f>
        <v>0.0681818181818181</v>
      </c>
      <c r="N128" s="13" t="str">
        <f aca="false">IF(B128="","",IF(J128&lt;2,"Needs 2+ trade sources",IF(M128&gt;Lists!$E$2,"CHECK","OK")))</f>
        <v>OK</v>
      </c>
      <c r="O128" s="9" t="str">
        <f aca="false">IF(B128="","",IF(J128&lt;2,"Needs 2+ trade sources",IF(M128&lt;=Lists!$E$6,"Good",IF(M128&lt;=Lists!$E$2,"Moderate","Bad"))))</f>
        <v>Moderate</v>
      </c>
    </row>
    <row r="129" customFormat="false" ht="14.25" hidden="false" customHeight="true" outlineLevel="0" collapsed="false">
      <c r="A129" s="6" t="n">
        <v>46311.875</v>
      </c>
      <c r="B129" s="7" t="s">
        <v>50</v>
      </c>
      <c r="C129" s="8" t="n">
        <v>46311</v>
      </c>
      <c r="D129" s="9" t="n">
        <f aca="false">IF(OR(B129="",C129=""),"",IFERROR(C129-INDEX(Films!$C$2:$C$100,MATCH(B129,Films!$A$2:$A$100,0))+1,""))</f>
        <v>1</v>
      </c>
      <c r="E129" s="10" t="n">
        <v>1.05</v>
      </c>
      <c r="F129" s="7" t="s">
        <v>34</v>
      </c>
      <c r="G129" s="7" t="s">
        <v>40</v>
      </c>
      <c r="H129" s="7" t="s">
        <v>41</v>
      </c>
      <c r="I129" s="7" t="s">
        <v>42</v>
      </c>
      <c r="J129" s="9" t="n">
        <f aca="false">IF(B129="","",COUNTIFS($B$2:$B$500,B129,$C$2:$C$500,C129,$F$2:$F$500,F129,$H$2:$H$500,"Trade estimate"))</f>
        <v>2</v>
      </c>
      <c r="K129" s="11" t="n">
        <f aca="false">IF(OR(J129="",J129=0),"",_xlfn.MAXIFS($E$2:$E$500,$B$2:$B$500,B129,$C$2:$C$500,C129,$F$2:$F$500,F129,$H$2:$H$500,"Trade estimate"))</f>
        <v>0.94</v>
      </c>
      <c r="L129" s="11" t="n">
        <f aca="false">IF(OR(J129="",J129=0),"",_xlfn.MINIFS($E$2:$E$500,$B$2:$B$500,B129,$C$2:$C$500,C129,$F$2:$F$500,F129,$H$2:$H$500,"Trade estimate"))</f>
        <v>0.88</v>
      </c>
      <c r="M129" s="12" t="n">
        <f aca="false">IF(OR(J129="",J129&lt;2),"",IF(L129=0,"",(K129-L129)/L129))</f>
        <v>0.0681818181818181</v>
      </c>
      <c r="N129" s="13" t="str">
        <f aca="false">IF(B129="","",IF(J129&lt;2,"Needs 2+ trade sources",IF(M129&gt;Lists!$E$2,"CHECK","OK")))</f>
        <v>OK</v>
      </c>
      <c r="O129" s="9" t="str">
        <f aca="false">IF(B129="","",IF(J129&lt;2,"Needs 2+ trade sources",IF(M129&lt;=Lists!$E$6,"Good",IF(M129&lt;=Lists!$E$2,"Moderate","Bad"))))</f>
        <v>Moderate</v>
      </c>
    </row>
    <row r="130" customFormat="false" ht="14.25" hidden="false" customHeight="true" outlineLevel="0" collapsed="false">
      <c r="A130" s="6" t="n">
        <v>46311.875</v>
      </c>
      <c r="B130" s="7" t="s">
        <v>51</v>
      </c>
      <c r="C130" s="8" t="n">
        <v>46310</v>
      </c>
      <c r="D130" s="9" t="n">
        <f aca="false">IF(OR(B130="",C130=""),"",IFERROR(C130-INDEX(Films!$C$2:$C$100,MATCH(B130,Films!$A$2:$A$100,0))+1,""))</f>
        <v>1</v>
      </c>
      <c r="E130" s="10" t="n">
        <v>0.42</v>
      </c>
      <c r="F130" s="7" t="s">
        <v>34</v>
      </c>
      <c r="G130" s="7" t="s">
        <v>35</v>
      </c>
      <c r="H130" s="7" t="s">
        <v>36</v>
      </c>
      <c r="I130" s="7" t="s">
        <v>37</v>
      </c>
      <c r="J130" s="9" t="n">
        <f aca="false">IF(B130="","",COUNTIFS($B$2:$B$500,B130,$C$2:$C$500,C130,$F$2:$F$500,F130,$H$2:$H$500,"Trade estimate"))</f>
        <v>2</v>
      </c>
      <c r="K130" s="11" t="n">
        <f aca="false">IF(OR(J130="",J130=0),"",_xlfn.MAXIFS($E$2:$E$500,$B$2:$B$500,B130,$C$2:$C$500,C130,$F$2:$F$500,F130,$H$2:$H$500,"Trade estimate"))</f>
        <v>0.42</v>
      </c>
      <c r="L130" s="11" t="n">
        <f aca="false">IF(OR(J130="",J130=0),"",_xlfn.MINIFS($E$2:$E$500,$B$2:$B$500,B130,$C$2:$C$500,C130,$F$2:$F$500,F130,$H$2:$H$500,"Trade estimate"))</f>
        <v>0.39</v>
      </c>
      <c r="M130" s="12" t="n">
        <f aca="false">IF(OR(J130="",J130&lt;2),"",IF(L130=0,"",(K130-L130)/L130))</f>
        <v>0.0769230769230768</v>
      </c>
      <c r="N130" s="13" t="str">
        <f aca="false">IF(B130="","",IF(J130&lt;2,"Needs 2+ trade sources",IF(M130&gt;Lists!$E$2,"CHECK","OK")))</f>
        <v>OK</v>
      </c>
      <c r="O130" s="9" t="str">
        <f aca="false">IF(B130="","",IF(J130&lt;2,"Needs 2+ trade sources",IF(M130&lt;=Lists!$E$6,"Good",IF(M130&lt;=Lists!$E$2,"Moderate","Bad"))))</f>
        <v>Moderate</v>
      </c>
    </row>
    <row r="131" customFormat="false" ht="14.25" hidden="false" customHeight="true" outlineLevel="0" collapsed="false">
      <c r="A131" s="6" t="n">
        <v>46311.875</v>
      </c>
      <c r="B131" s="7" t="s">
        <v>51</v>
      </c>
      <c r="C131" s="8" t="n">
        <v>46310</v>
      </c>
      <c r="D131" s="9" t="n">
        <f aca="false">IF(OR(B131="",C131=""),"",IFERROR(C131-INDEX(Films!$C$2:$C$100,MATCH(B131,Films!$A$2:$A$100,0))+1,""))</f>
        <v>1</v>
      </c>
      <c r="E131" s="10" t="n">
        <v>0.39</v>
      </c>
      <c r="F131" s="7" t="s">
        <v>34</v>
      </c>
      <c r="G131" s="7" t="s">
        <v>39</v>
      </c>
      <c r="H131" s="7" t="s">
        <v>36</v>
      </c>
      <c r="I131" s="7" t="s">
        <v>37</v>
      </c>
      <c r="J131" s="9" t="n">
        <f aca="false">IF(B131="","",COUNTIFS($B$2:$B$500,B131,$C$2:$C$500,C131,$F$2:$F$500,F131,$H$2:$H$500,"Trade estimate"))</f>
        <v>2</v>
      </c>
      <c r="K131" s="11" t="n">
        <f aca="false">IF(OR(J131="",J131=0),"",_xlfn.MAXIFS($E$2:$E$500,$B$2:$B$500,B131,$C$2:$C$500,C131,$F$2:$F$500,F131,$H$2:$H$500,"Trade estimate"))</f>
        <v>0.42</v>
      </c>
      <c r="L131" s="11" t="n">
        <f aca="false">IF(OR(J131="",J131=0),"",_xlfn.MINIFS($E$2:$E$500,$B$2:$B$500,B131,$C$2:$C$500,C131,$F$2:$F$500,F131,$H$2:$H$500,"Trade estimate"))</f>
        <v>0.39</v>
      </c>
      <c r="M131" s="12" t="n">
        <f aca="false">IF(OR(J131="",J131&lt;2),"",IF(L131=0,"",(K131-L131)/L131))</f>
        <v>0.0769230769230768</v>
      </c>
      <c r="N131" s="13" t="str">
        <f aca="false">IF(B131="","",IF(J131&lt;2,"Needs 2+ trade sources",IF(M131&gt;Lists!$E$2,"CHECK","OK")))</f>
        <v>OK</v>
      </c>
      <c r="O131" s="9" t="str">
        <f aca="false">IF(B131="","",IF(J131&lt;2,"Needs 2+ trade sources",IF(M131&lt;=Lists!$E$6,"Good",IF(M131&lt;=Lists!$E$2,"Moderate","Bad"))))</f>
        <v>Moderate</v>
      </c>
    </row>
    <row r="132" customFormat="false" ht="14.25" hidden="false" customHeight="true" outlineLevel="0" collapsed="false">
      <c r="A132" s="6" t="n">
        <v>46311.875</v>
      </c>
      <c r="B132" s="7" t="s">
        <v>51</v>
      </c>
      <c r="C132" s="8" t="n">
        <v>46310</v>
      </c>
      <c r="D132" s="9" t="n">
        <f aca="false">IF(OR(B132="",C132=""),"",IFERROR(C132-INDEX(Films!$C$2:$C$100,MATCH(B132,Films!$A$2:$A$100,0))+1,""))</f>
        <v>1</v>
      </c>
      <c r="E132" s="10" t="n">
        <v>0.48</v>
      </c>
      <c r="F132" s="7" t="s">
        <v>34</v>
      </c>
      <c r="G132" s="7" t="s">
        <v>40</v>
      </c>
      <c r="H132" s="7" t="s">
        <v>41</v>
      </c>
      <c r="I132" s="7" t="s">
        <v>42</v>
      </c>
      <c r="J132" s="9" t="n">
        <f aca="false">IF(B132="","",COUNTIFS($B$2:$B$500,B132,$C$2:$C$500,C132,$F$2:$F$500,F132,$H$2:$H$500,"Trade estimate"))</f>
        <v>2</v>
      </c>
      <c r="K132" s="11" t="n">
        <f aca="false">IF(OR(J132="",J132=0),"",_xlfn.MAXIFS($E$2:$E$500,$B$2:$B$500,B132,$C$2:$C$500,C132,$F$2:$F$500,F132,$H$2:$H$500,"Trade estimate"))</f>
        <v>0.42</v>
      </c>
      <c r="L132" s="11" t="n">
        <f aca="false">IF(OR(J132="",J132=0),"",_xlfn.MINIFS($E$2:$E$500,$B$2:$B$500,B132,$C$2:$C$500,C132,$F$2:$F$500,F132,$H$2:$H$500,"Trade estimate"))</f>
        <v>0.39</v>
      </c>
      <c r="M132" s="12" t="n">
        <f aca="false">IF(OR(J132="",J132&lt;2),"",IF(L132=0,"",(K132-L132)/L132))</f>
        <v>0.0769230769230768</v>
      </c>
      <c r="N132" s="13" t="str">
        <f aca="false">IF(B132="","",IF(J132&lt;2,"Needs 2+ trade sources",IF(M132&gt;Lists!$E$2,"CHECK","OK")))</f>
        <v>OK</v>
      </c>
      <c r="O132" s="9" t="str">
        <f aca="false">IF(B132="","",IF(J132&lt;2,"Needs 2+ trade sources",IF(M132&lt;=Lists!$E$6,"Good",IF(M132&lt;=Lists!$E$2,"Moderate","Bad"))))</f>
        <v>Moderate</v>
      </c>
    </row>
    <row r="133" customFormat="false" ht="14.25" hidden="false" customHeight="true" outlineLevel="0" collapsed="false">
      <c r="A133" s="6" t="n">
        <v>46311.875</v>
      </c>
      <c r="B133" s="7" t="s">
        <v>51</v>
      </c>
      <c r="C133" s="8" t="n">
        <v>46311</v>
      </c>
      <c r="D133" s="9" t="n">
        <f aca="false">IF(OR(B133="",C133=""),"",IFERROR(C133-INDEX(Films!$C$2:$C$100,MATCH(B133,Films!$A$2:$A$100,0))+1,""))</f>
        <v>2</v>
      </c>
      <c r="E133" s="10" t="n">
        <v>0.35</v>
      </c>
      <c r="F133" s="7" t="s">
        <v>34</v>
      </c>
      <c r="G133" s="7" t="s">
        <v>35</v>
      </c>
      <c r="H133" s="7" t="s">
        <v>36</v>
      </c>
      <c r="I133" s="7" t="s">
        <v>37</v>
      </c>
      <c r="J133" s="9" t="n">
        <f aca="false">IF(B133="","",COUNTIFS($B$2:$B$500,B133,$C$2:$C$500,C133,$F$2:$F$500,F133,$H$2:$H$500,"Trade estimate"))</f>
        <v>2</v>
      </c>
      <c r="K133" s="11" t="n">
        <f aca="false">IF(OR(J133="",J133=0),"",_xlfn.MAXIFS($E$2:$E$500,$B$2:$B$500,B133,$C$2:$C$500,C133,$F$2:$F$500,F133,$H$2:$H$500,"Trade estimate"))</f>
        <v>0.35</v>
      </c>
      <c r="L133" s="11" t="n">
        <f aca="false">IF(OR(J133="",J133=0),"",_xlfn.MINIFS($E$2:$E$500,$B$2:$B$500,B133,$C$2:$C$500,C133,$F$2:$F$500,F133,$H$2:$H$500,"Trade estimate"))</f>
        <v>0.33</v>
      </c>
      <c r="M133" s="12" t="n">
        <f aca="false">IF(OR(J133="",J133&lt;2),"",IF(L133=0,"",(K133-L133)/L133))</f>
        <v>0.0606060606060605</v>
      </c>
      <c r="N133" s="13" t="str">
        <f aca="false">IF(B133="","",IF(J133&lt;2,"Needs 2+ trade sources",IF(M133&gt;Lists!$E$2,"CHECK","OK")))</f>
        <v>OK</v>
      </c>
      <c r="O133" s="9" t="str">
        <f aca="false">IF(B133="","",IF(J133&lt;2,"Needs 2+ trade sources",IF(M133&lt;=Lists!$E$6,"Good",IF(M133&lt;=Lists!$E$2,"Moderate","Bad"))))</f>
        <v>Moderate</v>
      </c>
    </row>
    <row r="134" customFormat="false" ht="14.25" hidden="false" customHeight="true" outlineLevel="0" collapsed="false">
      <c r="A134" s="6" t="n">
        <v>46311.875</v>
      </c>
      <c r="B134" s="7" t="s">
        <v>51</v>
      </c>
      <c r="C134" s="8" t="n">
        <v>46311</v>
      </c>
      <c r="D134" s="9" t="n">
        <f aca="false">IF(OR(B134="",C134=""),"",IFERROR(C134-INDEX(Films!$C$2:$C$100,MATCH(B134,Films!$A$2:$A$100,0))+1,""))</f>
        <v>2</v>
      </c>
      <c r="E134" s="10" t="n">
        <v>0.33</v>
      </c>
      <c r="F134" s="7" t="s">
        <v>34</v>
      </c>
      <c r="G134" s="7" t="s">
        <v>39</v>
      </c>
      <c r="H134" s="7" t="s">
        <v>36</v>
      </c>
      <c r="I134" s="7" t="s">
        <v>37</v>
      </c>
      <c r="J134" s="9" t="n">
        <f aca="false">IF(B134="","",COUNTIFS($B$2:$B$500,B134,$C$2:$C$500,C134,$F$2:$F$500,F134,$H$2:$H$500,"Trade estimate"))</f>
        <v>2</v>
      </c>
      <c r="K134" s="11" t="n">
        <f aca="false">IF(OR(J134="",J134=0),"",_xlfn.MAXIFS($E$2:$E$500,$B$2:$B$500,B134,$C$2:$C$500,C134,$F$2:$F$500,F134,$H$2:$H$500,"Trade estimate"))</f>
        <v>0.35</v>
      </c>
      <c r="L134" s="11" t="n">
        <f aca="false">IF(OR(J134="",J134=0),"",_xlfn.MINIFS($E$2:$E$500,$B$2:$B$500,B134,$C$2:$C$500,C134,$F$2:$F$500,F134,$H$2:$H$500,"Trade estimate"))</f>
        <v>0.33</v>
      </c>
      <c r="M134" s="12" t="n">
        <f aca="false">IF(OR(J134="",J134&lt;2),"",IF(L134=0,"",(K134-L134)/L134))</f>
        <v>0.0606060606060605</v>
      </c>
      <c r="N134" s="13" t="str">
        <f aca="false">IF(B134="","",IF(J134&lt;2,"Needs 2+ trade sources",IF(M134&gt;Lists!$E$2,"CHECK","OK")))</f>
        <v>OK</v>
      </c>
      <c r="O134" s="9" t="str">
        <f aca="false">IF(B134="","",IF(J134&lt;2,"Needs 2+ trade sources",IF(M134&lt;=Lists!$E$6,"Good",IF(M134&lt;=Lists!$E$2,"Moderate","Bad"))))</f>
        <v>Moderate</v>
      </c>
    </row>
    <row r="135" customFormat="false" ht="14.25" hidden="false" customHeight="true" outlineLevel="0" collapsed="false">
      <c r="A135" s="6" t="n">
        <v>46311.875</v>
      </c>
      <c r="B135" s="7" t="s">
        <v>51</v>
      </c>
      <c r="C135" s="8" t="n">
        <v>46311</v>
      </c>
      <c r="D135" s="9" t="n">
        <f aca="false">IF(OR(B135="",C135=""),"",IFERROR(C135-INDEX(Films!$C$2:$C$100,MATCH(B135,Films!$A$2:$A$100,0))+1,""))</f>
        <v>2</v>
      </c>
      <c r="E135" s="10" t="n">
        <v>0.4</v>
      </c>
      <c r="F135" s="7" t="s">
        <v>34</v>
      </c>
      <c r="G135" s="7" t="s">
        <v>40</v>
      </c>
      <c r="H135" s="7" t="s">
        <v>41</v>
      </c>
      <c r="I135" s="7" t="s">
        <v>42</v>
      </c>
      <c r="J135" s="9" t="n">
        <f aca="false">IF(B135="","",COUNTIFS($B$2:$B$500,B135,$C$2:$C$500,C135,$F$2:$F$500,F135,$H$2:$H$500,"Trade estimate"))</f>
        <v>2</v>
      </c>
      <c r="K135" s="11" t="n">
        <f aca="false">IF(OR(J135="",J135=0),"",_xlfn.MAXIFS($E$2:$E$500,$B$2:$B$500,B135,$C$2:$C$500,C135,$F$2:$F$500,F135,$H$2:$H$500,"Trade estimate"))</f>
        <v>0.35</v>
      </c>
      <c r="L135" s="11" t="n">
        <f aca="false">IF(OR(J135="",J135=0),"",_xlfn.MINIFS($E$2:$E$500,$B$2:$B$500,B135,$C$2:$C$500,C135,$F$2:$F$500,F135,$H$2:$H$500,"Trade estimate"))</f>
        <v>0.33</v>
      </c>
      <c r="M135" s="12" t="n">
        <f aca="false">IF(OR(J135="",J135&lt;2),"",IF(L135=0,"",(K135-L135)/L135))</f>
        <v>0.0606060606060605</v>
      </c>
      <c r="N135" s="13" t="str">
        <f aca="false">IF(B135="","",IF(J135&lt;2,"Needs 2+ trade sources",IF(M135&gt;Lists!$E$2,"CHECK","OK")))</f>
        <v>OK</v>
      </c>
      <c r="O135" s="9" t="str">
        <f aca="false">IF(B135="","",IF(J135&lt;2,"Needs 2+ trade sources",IF(M135&lt;=Lists!$E$6,"Good",IF(M135&lt;=Lists!$E$2,"Moderate","Bad"))))</f>
        <v>Moderate</v>
      </c>
    </row>
    <row r="136" customFormat="false" ht="14.25" hidden="false" customHeight="true" outlineLevel="0" collapsed="false">
      <c r="A136" s="6"/>
      <c r="B136" s="7"/>
      <c r="C136" s="8"/>
      <c r="D136" s="9" t="str">
        <f aca="false">IF(OR(B136="",C136=""),"",IFERROR(C136-INDEX(Films!$C$2:$C$100,MATCH(B136,Films!$A$2:$A$100,0))+1,""))</f>
        <v/>
      </c>
      <c r="E136" s="10"/>
      <c r="F136" s="7"/>
      <c r="G136" s="7"/>
      <c r="H136" s="7"/>
      <c r="I136" s="7"/>
      <c r="J136" s="9" t="str">
        <f aca="false">IF(B136="","",COUNTIFS($B$2:$B$500,B136,$C$2:$C$500,C136,$F$2:$F$500,F136,$H$2:$H$500,"Trade estimate"))</f>
        <v/>
      </c>
      <c r="K136" s="11" t="str">
        <f aca="false">IF(OR(J136="",J136=0),"",_xlfn.MAXIFS($E$2:$E$500,$B$2:$B$500,B136,$C$2:$C$500,C136,$F$2:$F$500,F136,$H$2:$H$500,"Trade estimate"))</f>
        <v/>
      </c>
      <c r="L136" s="11" t="str">
        <f aca="false">IF(OR(J136="",J136=0),"",_xlfn.MINIFS($E$2:$E$500,$B$2:$B$500,B136,$C$2:$C$500,C136,$F$2:$F$500,F136,$H$2:$H$500,"Trade estimate"))</f>
        <v/>
      </c>
      <c r="M136" s="12" t="str">
        <f aca="false">IF(OR(J136="",J136&lt;2),"",IF(L136=0,"",(K136-L136)/L136))</f>
        <v/>
      </c>
      <c r="N136" s="13" t="str">
        <f aca="false">IF(B136="","",IF(J136&lt;2,"Needs 2+ trade sources",IF(M136&gt;Lists!$E$2,"CHECK","OK")))</f>
        <v/>
      </c>
      <c r="O136" s="9" t="str">
        <f aca="false">IF(B136="","",IF(J136&lt;2,"Needs 2+ trade sources",IF(M136&lt;=Lists!$E$6,"Good",IF(M136&lt;=Lists!$E$2,"Moderate","Bad"))))</f>
        <v/>
      </c>
    </row>
    <row r="137" customFormat="false" ht="14.25" hidden="false" customHeight="true" outlineLevel="0" collapsed="false">
      <c r="A137" s="6"/>
      <c r="B137" s="7"/>
      <c r="C137" s="8"/>
      <c r="D137" s="9" t="str">
        <f aca="false">IF(OR(B137="",C137=""),"",IFERROR(C137-INDEX(Films!$C$2:$C$100,MATCH(B137,Films!$A$2:$A$100,0))+1,""))</f>
        <v/>
      </c>
      <c r="E137" s="10"/>
      <c r="F137" s="7"/>
      <c r="G137" s="7"/>
      <c r="H137" s="7"/>
      <c r="I137" s="7"/>
      <c r="J137" s="9" t="str">
        <f aca="false">IF(B137="","",COUNTIFS($B$2:$B$500,B137,$C$2:$C$500,C137,$F$2:$F$500,F137,$H$2:$H$500,"Trade estimate"))</f>
        <v/>
      </c>
      <c r="K137" s="11" t="str">
        <f aca="false">IF(OR(J137="",J137=0),"",_xlfn.MAXIFS($E$2:$E$500,$B$2:$B$500,B137,$C$2:$C$500,C137,$F$2:$F$500,F137,$H$2:$H$500,"Trade estimate"))</f>
        <v/>
      </c>
      <c r="L137" s="11" t="str">
        <f aca="false">IF(OR(J137="",J137=0),"",_xlfn.MINIFS($E$2:$E$500,$B$2:$B$500,B137,$C$2:$C$500,C137,$F$2:$F$500,F137,$H$2:$H$500,"Trade estimate"))</f>
        <v/>
      </c>
      <c r="M137" s="12" t="str">
        <f aca="false">IF(OR(J137="",J137&lt;2),"",IF(L137=0,"",(K137-L137)/L137))</f>
        <v/>
      </c>
      <c r="N137" s="13" t="str">
        <f aca="false">IF(B137="","",IF(J137&lt;2,"Needs 2+ trade sources",IF(M137&gt;Lists!$E$2,"CHECK","OK")))</f>
        <v/>
      </c>
      <c r="O137" s="9" t="str">
        <f aca="false">IF(B137="","",IF(J137&lt;2,"Needs 2+ trade sources",IF(M137&lt;=Lists!$E$6,"Good",IF(M137&lt;=Lists!$E$2,"Moderate","Bad"))))</f>
        <v/>
      </c>
    </row>
    <row r="138" customFormat="false" ht="14.25" hidden="false" customHeight="true" outlineLevel="0" collapsed="false">
      <c r="A138" s="6"/>
      <c r="B138" s="7"/>
      <c r="C138" s="8"/>
      <c r="D138" s="9" t="str">
        <f aca="false">IF(OR(B138="",C138=""),"",IFERROR(C138-INDEX(Films!$C$2:$C$100,MATCH(B138,Films!$A$2:$A$100,0))+1,""))</f>
        <v/>
      </c>
      <c r="E138" s="10"/>
      <c r="F138" s="7"/>
      <c r="G138" s="7"/>
      <c r="H138" s="7"/>
      <c r="I138" s="7"/>
      <c r="J138" s="9" t="str">
        <f aca="false">IF(B138="","",COUNTIFS($B$2:$B$500,B138,$C$2:$C$500,C138,$F$2:$F$500,F138,$H$2:$H$500,"Trade estimate"))</f>
        <v/>
      </c>
      <c r="K138" s="11" t="str">
        <f aca="false">IF(OR(J138="",J138=0),"",_xlfn.MAXIFS($E$2:$E$500,$B$2:$B$500,B138,$C$2:$C$500,C138,$F$2:$F$500,F138,$H$2:$H$500,"Trade estimate"))</f>
        <v/>
      </c>
      <c r="L138" s="11" t="str">
        <f aca="false">IF(OR(J138="",J138=0),"",_xlfn.MINIFS($E$2:$E$500,$B$2:$B$500,B138,$C$2:$C$500,C138,$F$2:$F$500,F138,$H$2:$H$500,"Trade estimate"))</f>
        <v/>
      </c>
      <c r="M138" s="12" t="str">
        <f aca="false">IF(OR(J138="",J138&lt;2),"",IF(L138=0,"",(K138-L138)/L138))</f>
        <v/>
      </c>
      <c r="N138" s="13" t="str">
        <f aca="false">IF(B138="","",IF(J138&lt;2,"Needs 2+ trade sources",IF(M138&gt;Lists!$E$2,"CHECK","OK")))</f>
        <v/>
      </c>
      <c r="O138" s="9" t="str">
        <f aca="false">IF(B138="","",IF(J138&lt;2,"Needs 2+ trade sources",IF(M138&lt;=Lists!$E$6,"Good",IF(M138&lt;=Lists!$E$2,"Moderate","Bad"))))</f>
        <v/>
      </c>
    </row>
    <row r="139" customFormat="false" ht="14.25" hidden="false" customHeight="true" outlineLevel="0" collapsed="false">
      <c r="A139" s="6"/>
      <c r="B139" s="7"/>
      <c r="C139" s="8"/>
      <c r="D139" s="9" t="str">
        <f aca="false">IF(OR(B139="",C139=""),"",IFERROR(C139-INDEX(Films!$C$2:$C$100,MATCH(B139,Films!$A$2:$A$100,0))+1,""))</f>
        <v/>
      </c>
      <c r="E139" s="10"/>
      <c r="F139" s="7"/>
      <c r="G139" s="7"/>
      <c r="H139" s="7"/>
      <c r="I139" s="7"/>
      <c r="J139" s="9" t="str">
        <f aca="false">IF(B139="","",COUNTIFS($B$2:$B$500,B139,$C$2:$C$500,C139,$F$2:$F$500,F139,$H$2:$H$500,"Trade estimate"))</f>
        <v/>
      </c>
      <c r="K139" s="11" t="str">
        <f aca="false">IF(OR(J139="",J139=0),"",_xlfn.MAXIFS($E$2:$E$500,$B$2:$B$500,B139,$C$2:$C$500,C139,$F$2:$F$500,F139,$H$2:$H$500,"Trade estimate"))</f>
        <v/>
      </c>
      <c r="L139" s="11" t="str">
        <f aca="false">IF(OR(J139="",J139=0),"",_xlfn.MINIFS($E$2:$E$500,$B$2:$B$500,B139,$C$2:$C$500,C139,$F$2:$F$500,F139,$H$2:$H$500,"Trade estimate"))</f>
        <v/>
      </c>
      <c r="M139" s="12" t="str">
        <f aca="false">IF(OR(J139="",J139&lt;2),"",IF(L139=0,"",(K139-L139)/L139))</f>
        <v/>
      </c>
      <c r="N139" s="13" t="str">
        <f aca="false">IF(B139="","",IF(J139&lt;2,"Needs 2+ trade sources",IF(M139&gt;Lists!$E$2,"CHECK","OK")))</f>
        <v/>
      </c>
      <c r="O139" s="9" t="str">
        <f aca="false">IF(B139="","",IF(J139&lt;2,"Needs 2+ trade sources",IF(M139&lt;=Lists!$E$6,"Good",IF(M139&lt;=Lists!$E$2,"Moderate","Bad"))))</f>
        <v/>
      </c>
    </row>
    <row r="140" customFormat="false" ht="14.25" hidden="false" customHeight="true" outlineLevel="0" collapsed="false">
      <c r="A140" s="6"/>
      <c r="B140" s="7"/>
      <c r="C140" s="8"/>
      <c r="D140" s="9" t="str">
        <f aca="false">IF(OR(B140="",C140=""),"",IFERROR(C140-INDEX(Films!$C$2:$C$100,MATCH(B140,Films!$A$2:$A$100,0))+1,""))</f>
        <v/>
      </c>
      <c r="E140" s="10"/>
      <c r="F140" s="7"/>
      <c r="G140" s="7"/>
      <c r="H140" s="7"/>
      <c r="I140" s="7"/>
      <c r="J140" s="9" t="str">
        <f aca="false">IF(B140="","",COUNTIFS($B$2:$B$500,B140,$C$2:$C$500,C140,$F$2:$F$500,F140,$H$2:$H$500,"Trade estimate"))</f>
        <v/>
      </c>
      <c r="K140" s="11" t="str">
        <f aca="false">IF(OR(J140="",J140=0),"",_xlfn.MAXIFS($E$2:$E$500,$B$2:$B$500,B140,$C$2:$C$500,C140,$F$2:$F$500,F140,$H$2:$H$500,"Trade estimate"))</f>
        <v/>
      </c>
      <c r="L140" s="11" t="str">
        <f aca="false">IF(OR(J140="",J140=0),"",_xlfn.MINIFS($E$2:$E$500,$B$2:$B$500,B140,$C$2:$C$500,C140,$F$2:$F$500,F140,$H$2:$H$500,"Trade estimate"))</f>
        <v/>
      </c>
      <c r="M140" s="12" t="str">
        <f aca="false">IF(OR(J140="",J140&lt;2),"",IF(L140=0,"",(K140-L140)/L140))</f>
        <v/>
      </c>
      <c r="N140" s="13" t="str">
        <f aca="false">IF(B140="","",IF(J140&lt;2,"Needs 2+ trade sources",IF(M140&gt;Lists!$E$2,"CHECK","OK")))</f>
        <v/>
      </c>
      <c r="O140" s="9" t="str">
        <f aca="false">IF(B140="","",IF(J140&lt;2,"Needs 2+ trade sources",IF(M140&lt;=Lists!$E$6,"Good",IF(M140&lt;=Lists!$E$2,"Moderate","Bad"))))</f>
        <v/>
      </c>
    </row>
    <row r="141" customFormat="false" ht="14.25" hidden="false" customHeight="true" outlineLevel="0" collapsed="false">
      <c r="A141" s="6"/>
      <c r="B141" s="7"/>
      <c r="C141" s="8"/>
      <c r="D141" s="9" t="str">
        <f aca="false">IF(OR(B141="",C141=""),"",IFERROR(C141-INDEX(Films!$C$2:$C$100,MATCH(B141,Films!$A$2:$A$100,0))+1,""))</f>
        <v/>
      </c>
      <c r="E141" s="10"/>
      <c r="F141" s="7"/>
      <c r="G141" s="7"/>
      <c r="H141" s="7"/>
      <c r="I141" s="7"/>
      <c r="J141" s="9" t="str">
        <f aca="false">IF(B141="","",COUNTIFS($B$2:$B$500,B141,$C$2:$C$500,C141,$F$2:$F$500,F141,$H$2:$H$500,"Trade estimate"))</f>
        <v/>
      </c>
      <c r="K141" s="11" t="str">
        <f aca="false">IF(OR(J141="",J141=0),"",_xlfn.MAXIFS($E$2:$E$500,$B$2:$B$500,B141,$C$2:$C$500,C141,$F$2:$F$500,F141,$H$2:$H$500,"Trade estimate"))</f>
        <v/>
      </c>
      <c r="L141" s="11" t="str">
        <f aca="false">IF(OR(J141="",J141=0),"",_xlfn.MINIFS($E$2:$E$500,$B$2:$B$500,B141,$C$2:$C$500,C141,$F$2:$F$500,F141,$H$2:$H$500,"Trade estimate"))</f>
        <v/>
      </c>
      <c r="M141" s="12" t="str">
        <f aca="false">IF(OR(J141="",J141&lt;2),"",IF(L141=0,"",(K141-L141)/L141))</f>
        <v/>
      </c>
      <c r="N141" s="13" t="str">
        <f aca="false">IF(B141="","",IF(J141&lt;2,"Needs 2+ trade sources",IF(M141&gt;Lists!$E$2,"CHECK","OK")))</f>
        <v/>
      </c>
      <c r="O141" s="9" t="str">
        <f aca="false">IF(B141="","",IF(J141&lt;2,"Needs 2+ trade sources",IF(M141&lt;=Lists!$E$6,"Good",IF(M141&lt;=Lists!$E$2,"Moderate","Bad"))))</f>
        <v/>
      </c>
    </row>
    <row r="142" customFormat="false" ht="14.25" hidden="false" customHeight="true" outlineLevel="0" collapsed="false">
      <c r="A142" s="6"/>
      <c r="B142" s="7"/>
      <c r="C142" s="8"/>
      <c r="D142" s="9" t="str">
        <f aca="false">IF(OR(B142="",C142=""),"",IFERROR(C142-INDEX(Films!$C$2:$C$100,MATCH(B142,Films!$A$2:$A$100,0))+1,""))</f>
        <v/>
      </c>
      <c r="E142" s="10"/>
      <c r="F142" s="7"/>
      <c r="G142" s="7"/>
      <c r="H142" s="7"/>
      <c r="I142" s="7"/>
      <c r="J142" s="9" t="str">
        <f aca="false">IF(B142="","",COUNTIFS($B$2:$B$500,B142,$C$2:$C$500,C142,$F$2:$F$500,F142,$H$2:$H$500,"Trade estimate"))</f>
        <v/>
      </c>
      <c r="K142" s="11" t="str">
        <f aca="false">IF(OR(J142="",J142=0),"",_xlfn.MAXIFS($E$2:$E$500,$B$2:$B$500,B142,$C$2:$C$500,C142,$F$2:$F$500,F142,$H$2:$H$500,"Trade estimate"))</f>
        <v/>
      </c>
      <c r="L142" s="11" t="str">
        <f aca="false">IF(OR(J142="",J142=0),"",_xlfn.MINIFS($E$2:$E$500,$B$2:$B$500,B142,$C$2:$C$500,C142,$F$2:$F$500,F142,$H$2:$H$500,"Trade estimate"))</f>
        <v/>
      </c>
      <c r="M142" s="12" t="str">
        <f aca="false">IF(OR(J142="",J142&lt;2),"",IF(L142=0,"",(K142-L142)/L142))</f>
        <v/>
      </c>
      <c r="N142" s="13" t="str">
        <f aca="false">IF(B142="","",IF(J142&lt;2,"Needs 2+ trade sources",IF(M142&gt;Lists!$E$2,"CHECK","OK")))</f>
        <v/>
      </c>
      <c r="O142" s="9" t="str">
        <f aca="false">IF(B142="","",IF(J142&lt;2,"Needs 2+ trade sources",IF(M142&lt;=Lists!$E$6,"Good",IF(M142&lt;=Lists!$E$2,"Moderate","Bad"))))</f>
        <v/>
      </c>
    </row>
    <row r="143" customFormat="false" ht="14.25" hidden="false" customHeight="true" outlineLevel="0" collapsed="false">
      <c r="A143" s="6"/>
      <c r="B143" s="7"/>
      <c r="C143" s="8"/>
      <c r="D143" s="9" t="str">
        <f aca="false">IF(OR(B143="",C143=""),"",IFERROR(C143-INDEX(Films!$C$2:$C$100,MATCH(B143,Films!$A$2:$A$100,0))+1,""))</f>
        <v/>
      </c>
      <c r="E143" s="10"/>
      <c r="F143" s="7"/>
      <c r="G143" s="7"/>
      <c r="H143" s="7"/>
      <c r="I143" s="7"/>
      <c r="J143" s="9" t="str">
        <f aca="false">IF(B143="","",COUNTIFS($B$2:$B$500,B143,$C$2:$C$500,C143,$F$2:$F$500,F143,$H$2:$H$500,"Trade estimate"))</f>
        <v/>
      </c>
      <c r="K143" s="11" t="str">
        <f aca="false">IF(OR(J143="",J143=0),"",_xlfn.MAXIFS($E$2:$E$500,$B$2:$B$500,B143,$C$2:$C$500,C143,$F$2:$F$500,F143,$H$2:$H$500,"Trade estimate"))</f>
        <v/>
      </c>
      <c r="L143" s="11" t="str">
        <f aca="false">IF(OR(J143="",J143=0),"",_xlfn.MINIFS($E$2:$E$500,$B$2:$B$500,B143,$C$2:$C$500,C143,$F$2:$F$500,F143,$H$2:$H$500,"Trade estimate"))</f>
        <v/>
      </c>
      <c r="M143" s="12" t="str">
        <f aca="false">IF(OR(J143="",J143&lt;2),"",IF(L143=0,"",(K143-L143)/L143))</f>
        <v/>
      </c>
      <c r="N143" s="13" t="str">
        <f aca="false">IF(B143="","",IF(J143&lt;2,"Needs 2+ trade sources",IF(M143&gt;Lists!$E$2,"CHECK","OK")))</f>
        <v/>
      </c>
      <c r="O143" s="9" t="str">
        <f aca="false">IF(B143="","",IF(J143&lt;2,"Needs 2+ trade sources",IF(M143&lt;=Lists!$E$6,"Good",IF(M143&lt;=Lists!$E$2,"Moderate","Bad"))))</f>
        <v/>
      </c>
    </row>
    <row r="144" customFormat="false" ht="14.25" hidden="false" customHeight="true" outlineLevel="0" collapsed="false">
      <c r="A144" s="6"/>
      <c r="B144" s="7"/>
      <c r="C144" s="8"/>
      <c r="D144" s="9" t="str">
        <f aca="false">IF(OR(B144="",C144=""),"",IFERROR(C144-INDEX(Films!$C$2:$C$100,MATCH(B144,Films!$A$2:$A$100,0))+1,""))</f>
        <v/>
      </c>
      <c r="E144" s="10"/>
      <c r="F144" s="7"/>
      <c r="G144" s="7"/>
      <c r="H144" s="7"/>
      <c r="I144" s="7"/>
      <c r="J144" s="9" t="str">
        <f aca="false">IF(B144="","",COUNTIFS($B$2:$B$500,B144,$C$2:$C$500,C144,$F$2:$F$500,F144,$H$2:$H$500,"Trade estimate"))</f>
        <v/>
      </c>
      <c r="K144" s="11" t="str">
        <f aca="false">IF(OR(J144="",J144=0),"",_xlfn.MAXIFS($E$2:$E$500,$B$2:$B$500,B144,$C$2:$C$500,C144,$F$2:$F$500,F144,$H$2:$H$500,"Trade estimate"))</f>
        <v/>
      </c>
      <c r="L144" s="11" t="str">
        <f aca="false">IF(OR(J144="",J144=0),"",_xlfn.MINIFS($E$2:$E$500,$B$2:$B$500,B144,$C$2:$C$500,C144,$F$2:$F$500,F144,$H$2:$H$500,"Trade estimate"))</f>
        <v/>
      </c>
      <c r="M144" s="12" t="str">
        <f aca="false">IF(OR(J144="",J144&lt;2),"",IF(L144=0,"",(K144-L144)/L144))</f>
        <v/>
      </c>
      <c r="N144" s="13" t="str">
        <f aca="false">IF(B144="","",IF(J144&lt;2,"Needs 2+ trade sources",IF(M144&gt;Lists!$E$2,"CHECK","OK")))</f>
        <v/>
      </c>
      <c r="O144" s="9" t="str">
        <f aca="false">IF(B144="","",IF(J144&lt;2,"Needs 2+ trade sources",IF(M144&lt;=Lists!$E$6,"Good",IF(M144&lt;=Lists!$E$2,"Moderate","Bad"))))</f>
        <v/>
      </c>
    </row>
    <row r="145" customFormat="false" ht="14.25" hidden="false" customHeight="true" outlineLevel="0" collapsed="false">
      <c r="A145" s="6"/>
      <c r="B145" s="7"/>
      <c r="C145" s="8"/>
      <c r="D145" s="9" t="str">
        <f aca="false">IF(OR(B145="",C145=""),"",IFERROR(C145-INDEX(Films!$C$2:$C$100,MATCH(B145,Films!$A$2:$A$100,0))+1,""))</f>
        <v/>
      </c>
      <c r="E145" s="10"/>
      <c r="F145" s="7"/>
      <c r="G145" s="7"/>
      <c r="H145" s="7"/>
      <c r="I145" s="7"/>
      <c r="J145" s="9" t="str">
        <f aca="false">IF(B145="","",COUNTIFS($B$2:$B$500,B145,$C$2:$C$500,C145,$F$2:$F$500,F145,$H$2:$H$500,"Trade estimate"))</f>
        <v/>
      </c>
      <c r="K145" s="11" t="str">
        <f aca="false">IF(OR(J145="",J145=0),"",_xlfn.MAXIFS($E$2:$E$500,$B$2:$B$500,B145,$C$2:$C$500,C145,$F$2:$F$500,F145,$H$2:$H$500,"Trade estimate"))</f>
        <v/>
      </c>
      <c r="L145" s="11" t="str">
        <f aca="false">IF(OR(J145="",J145=0),"",_xlfn.MINIFS($E$2:$E$500,$B$2:$B$500,B145,$C$2:$C$500,C145,$F$2:$F$500,F145,$H$2:$H$500,"Trade estimate"))</f>
        <v/>
      </c>
      <c r="M145" s="12" t="str">
        <f aca="false">IF(OR(J145="",J145&lt;2),"",IF(L145=0,"",(K145-L145)/L145))</f>
        <v/>
      </c>
      <c r="N145" s="13" t="str">
        <f aca="false">IF(B145="","",IF(J145&lt;2,"Needs 2+ trade sources",IF(M145&gt;Lists!$E$2,"CHECK","OK")))</f>
        <v/>
      </c>
      <c r="O145" s="9" t="str">
        <f aca="false">IF(B145="","",IF(J145&lt;2,"Needs 2+ trade sources",IF(M145&lt;=Lists!$E$6,"Good",IF(M145&lt;=Lists!$E$2,"Moderate","Bad"))))</f>
        <v/>
      </c>
    </row>
    <row r="146" customFormat="false" ht="14.25" hidden="false" customHeight="true" outlineLevel="0" collapsed="false">
      <c r="A146" s="6"/>
      <c r="B146" s="7"/>
      <c r="C146" s="8"/>
      <c r="D146" s="9" t="str">
        <f aca="false">IF(OR(B146="",C146=""),"",IFERROR(C146-INDEX(Films!$C$2:$C$100,MATCH(B146,Films!$A$2:$A$100,0))+1,""))</f>
        <v/>
      </c>
      <c r="E146" s="10"/>
      <c r="F146" s="7"/>
      <c r="G146" s="7"/>
      <c r="H146" s="7"/>
      <c r="I146" s="7"/>
      <c r="J146" s="9" t="str">
        <f aca="false">IF(B146="","",COUNTIFS($B$2:$B$500,B146,$C$2:$C$500,C146,$F$2:$F$500,F146,$H$2:$H$500,"Trade estimate"))</f>
        <v/>
      </c>
      <c r="K146" s="11" t="str">
        <f aca="false">IF(OR(J146="",J146=0),"",_xlfn.MAXIFS($E$2:$E$500,$B$2:$B$500,B146,$C$2:$C$500,C146,$F$2:$F$500,F146,$H$2:$H$500,"Trade estimate"))</f>
        <v/>
      </c>
      <c r="L146" s="11" t="str">
        <f aca="false">IF(OR(J146="",J146=0),"",_xlfn.MINIFS($E$2:$E$500,$B$2:$B$500,B146,$C$2:$C$500,C146,$F$2:$F$500,F146,$H$2:$H$500,"Trade estimate"))</f>
        <v/>
      </c>
      <c r="M146" s="12" t="str">
        <f aca="false">IF(OR(J146="",J146&lt;2),"",IF(L146=0,"",(K146-L146)/L146))</f>
        <v/>
      </c>
      <c r="N146" s="13" t="str">
        <f aca="false">IF(B146="","",IF(J146&lt;2,"Needs 2+ trade sources",IF(M146&gt;Lists!$E$2,"CHECK","OK")))</f>
        <v/>
      </c>
      <c r="O146" s="9" t="str">
        <f aca="false">IF(B146="","",IF(J146&lt;2,"Needs 2+ trade sources",IF(M146&lt;=Lists!$E$6,"Good",IF(M146&lt;=Lists!$E$2,"Moderate","Bad"))))</f>
        <v/>
      </c>
    </row>
    <row r="147" customFormat="false" ht="14.25" hidden="false" customHeight="true" outlineLevel="0" collapsed="false">
      <c r="A147" s="6"/>
      <c r="B147" s="7"/>
      <c r="C147" s="8"/>
      <c r="D147" s="9" t="str">
        <f aca="false">IF(OR(B147="",C147=""),"",IFERROR(C147-INDEX(Films!$C$2:$C$100,MATCH(B147,Films!$A$2:$A$100,0))+1,""))</f>
        <v/>
      </c>
      <c r="E147" s="10"/>
      <c r="F147" s="7"/>
      <c r="G147" s="7"/>
      <c r="H147" s="7"/>
      <c r="I147" s="7"/>
      <c r="J147" s="9" t="str">
        <f aca="false">IF(B147="","",COUNTIFS($B$2:$B$500,B147,$C$2:$C$500,C147,$F$2:$F$500,F147,$H$2:$H$500,"Trade estimate"))</f>
        <v/>
      </c>
      <c r="K147" s="11" t="str">
        <f aca="false">IF(OR(J147="",J147=0),"",_xlfn.MAXIFS($E$2:$E$500,$B$2:$B$500,B147,$C$2:$C$500,C147,$F$2:$F$500,F147,$H$2:$H$500,"Trade estimate"))</f>
        <v/>
      </c>
      <c r="L147" s="11" t="str">
        <f aca="false">IF(OR(J147="",J147=0),"",_xlfn.MINIFS($E$2:$E$500,$B$2:$B$500,B147,$C$2:$C$500,C147,$F$2:$F$500,F147,$H$2:$H$500,"Trade estimate"))</f>
        <v/>
      </c>
      <c r="M147" s="12" t="str">
        <f aca="false">IF(OR(J147="",J147&lt;2),"",IF(L147=0,"",(K147-L147)/L147))</f>
        <v/>
      </c>
      <c r="N147" s="13" t="str">
        <f aca="false">IF(B147="","",IF(J147&lt;2,"Needs 2+ trade sources",IF(M147&gt;Lists!$E$2,"CHECK","OK")))</f>
        <v/>
      </c>
      <c r="O147" s="9" t="str">
        <f aca="false">IF(B147="","",IF(J147&lt;2,"Needs 2+ trade sources",IF(M147&lt;=Lists!$E$6,"Good",IF(M147&lt;=Lists!$E$2,"Moderate","Bad"))))</f>
        <v/>
      </c>
    </row>
    <row r="148" customFormat="false" ht="14.25" hidden="false" customHeight="true" outlineLevel="0" collapsed="false">
      <c r="A148" s="6"/>
      <c r="B148" s="7"/>
      <c r="C148" s="8"/>
      <c r="D148" s="9" t="str">
        <f aca="false">IF(OR(B148="",C148=""),"",IFERROR(C148-INDEX(Films!$C$2:$C$100,MATCH(B148,Films!$A$2:$A$100,0))+1,""))</f>
        <v/>
      </c>
      <c r="E148" s="10"/>
      <c r="F148" s="7"/>
      <c r="G148" s="7"/>
      <c r="H148" s="7"/>
      <c r="I148" s="7"/>
      <c r="J148" s="9" t="str">
        <f aca="false">IF(B148="","",COUNTIFS($B$2:$B$500,B148,$C$2:$C$500,C148,$F$2:$F$500,F148,$H$2:$H$500,"Trade estimate"))</f>
        <v/>
      </c>
      <c r="K148" s="11" t="str">
        <f aca="false">IF(OR(J148="",J148=0),"",_xlfn.MAXIFS($E$2:$E$500,$B$2:$B$500,B148,$C$2:$C$500,C148,$F$2:$F$500,F148,$H$2:$H$500,"Trade estimate"))</f>
        <v/>
      </c>
      <c r="L148" s="11" t="str">
        <f aca="false">IF(OR(J148="",J148=0),"",_xlfn.MINIFS($E$2:$E$500,$B$2:$B$500,B148,$C$2:$C$500,C148,$F$2:$F$500,F148,$H$2:$H$500,"Trade estimate"))</f>
        <v/>
      </c>
      <c r="M148" s="12" t="str">
        <f aca="false">IF(OR(J148="",J148&lt;2),"",IF(L148=0,"",(K148-L148)/L148))</f>
        <v/>
      </c>
      <c r="N148" s="13" t="str">
        <f aca="false">IF(B148="","",IF(J148&lt;2,"Needs 2+ trade sources",IF(M148&gt;Lists!$E$2,"CHECK","OK")))</f>
        <v/>
      </c>
      <c r="O148" s="9" t="str">
        <f aca="false">IF(B148="","",IF(J148&lt;2,"Needs 2+ trade sources",IF(M148&lt;=Lists!$E$6,"Good",IF(M148&lt;=Lists!$E$2,"Moderate","Bad"))))</f>
        <v/>
      </c>
    </row>
    <row r="149" customFormat="false" ht="14.25" hidden="false" customHeight="true" outlineLevel="0" collapsed="false">
      <c r="A149" s="6"/>
      <c r="B149" s="7"/>
      <c r="C149" s="8"/>
      <c r="D149" s="9" t="str">
        <f aca="false">IF(OR(B149="",C149=""),"",IFERROR(C149-INDEX(Films!$C$2:$C$100,MATCH(B149,Films!$A$2:$A$100,0))+1,""))</f>
        <v/>
      </c>
      <c r="E149" s="10"/>
      <c r="F149" s="7"/>
      <c r="G149" s="7"/>
      <c r="H149" s="7"/>
      <c r="I149" s="7"/>
      <c r="J149" s="9" t="str">
        <f aca="false">IF(B149="","",COUNTIFS($B$2:$B$500,B149,$C$2:$C$500,C149,$F$2:$F$500,F149,$H$2:$H$500,"Trade estimate"))</f>
        <v/>
      </c>
      <c r="K149" s="11" t="str">
        <f aca="false">IF(OR(J149="",J149=0),"",_xlfn.MAXIFS($E$2:$E$500,$B$2:$B$500,B149,$C$2:$C$500,C149,$F$2:$F$500,F149,$H$2:$H$500,"Trade estimate"))</f>
        <v/>
      </c>
      <c r="L149" s="11" t="str">
        <f aca="false">IF(OR(J149="",J149=0),"",_xlfn.MINIFS($E$2:$E$500,$B$2:$B$500,B149,$C$2:$C$500,C149,$F$2:$F$500,F149,$H$2:$H$500,"Trade estimate"))</f>
        <v/>
      </c>
      <c r="M149" s="12" t="str">
        <f aca="false">IF(OR(J149="",J149&lt;2),"",IF(L149=0,"",(K149-L149)/L149))</f>
        <v/>
      </c>
      <c r="N149" s="13" t="str">
        <f aca="false">IF(B149="","",IF(J149&lt;2,"Needs 2+ trade sources",IF(M149&gt;Lists!$E$2,"CHECK","OK")))</f>
        <v/>
      </c>
      <c r="O149" s="9" t="str">
        <f aca="false">IF(B149="","",IF(J149&lt;2,"Needs 2+ trade sources",IF(M149&lt;=Lists!$E$6,"Good",IF(M149&lt;=Lists!$E$2,"Moderate","Bad"))))</f>
        <v/>
      </c>
    </row>
    <row r="150" customFormat="false" ht="14.25" hidden="false" customHeight="true" outlineLevel="0" collapsed="false">
      <c r="A150" s="6"/>
      <c r="B150" s="7"/>
      <c r="C150" s="8"/>
      <c r="D150" s="9" t="str">
        <f aca="false">IF(OR(B150="",C150=""),"",IFERROR(C150-INDEX(Films!$C$2:$C$100,MATCH(B150,Films!$A$2:$A$100,0))+1,""))</f>
        <v/>
      </c>
      <c r="E150" s="10"/>
      <c r="F150" s="7"/>
      <c r="G150" s="7"/>
      <c r="H150" s="7"/>
      <c r="I150" s="7"/>
      <c r="J150" s="9" t="str">
        <f aca="false">IF(B150="","",COUNTIFS($B$2:$B$500,B150,$C$2:$C$500,C150,$F$2:$F$500,F150,$H$2:$H$500,"Trade estimate"))</f>
        <v/>
      </c>
      <c r="K150" s="11" t="str">
        <f aca="false">IF(OR(J150="",J150=0),"",_xlfn.MAXIFS($E$2:$E$500,$B$2:$B$500,B150,$C$2:$C$500,C150,$F$2:$F$500,F150,$H$2:$H$500,"Trade estimate"))</f>
        <v/>
      </c>
      <c r="L150" s="11" t="str">
        <f aca="false">IF(OR(J150="",J150=0),"",_xlfn.MINIFS($E$2:$E$500,$B$2:$B$500,B150,$C$2:$C$500,C150,$F$2:$F$500,F150,$H$2:$H$500,"Trade estimate"))</f>
        <v/>
      </c>
      <c r="M150" s="12" t="str">
        <f aca="false">IF(OR(J150="",J150&lt;2),"",IF(L150=0,"",(K150-L150)/L150))</f>
        <v/>
      </c>
      <c r="N150" s="13" t="str">
        <f aca="false">IF(B150="","",IF(J150&lt;2,"Needs 2+ trade sources",IF(M150&gt;Lists!$E$2,"CHECK","OK")))</f>
        <v/>
      </c>
      <c r="O150" s="9" t="str">
        <f aca="false">IF(B150="","",IF(J150&lt;2,"Needs 2+ trade sources",IF(M150&lt;=Lists!$E$6,"Good",IF(M150&lt;=Lists!$E$2,"Moderate","Bad"))))</f>
        <v/>
      </c>
    </row>
    <row r="151" customFormat="false" ht="14.25" hidden="false" customHeight="true" outlineLevel="0" collapsed="false">
      <c r="A151" s="6"/>
      <c r="B151" s="7"/>
      <c r="C151" s="8"/>
      <c r="D151" s="9" t="str">
        <f aca="false">IF(OR(B151="",C151=""),"",IFERROR(C151-INDEX(Films!$C$2:$C$100,MATCH(B151,Films!$A$2:$A$100,0))+1,""))</f>
        <v/>
      </c>
      <c r="E151" s="10"/>
      <c r="F151" s="7"/>
      <c r="G151" s="7"/>
      <c r="H151" s="7"/>
      <c r="I151" s="7"/>
      <c r="J151" s="9" t="str">
        <f aca="false">IF(B151="","",COUNTIFS($B$2:$B$500,B151,$C$2:$C$500,C151,$F$2:$F$500,F151,$H$2:$H$500,"Trade estimate"))</f>
        <v/>
      </c>
      <c r="K151" s="11" t="str">
        <f aca="false">IF(OR(J151="",J151=0),"",_xlfn.MAXIFS($E$2:$E$500,$B$2:$B$500,B151,$C$2:$C$500,C151,$F$2:$F$500,F151,$H$2:$H$500,"Trade estimate"))</f>
        <v/>
      </c>
      <c r="L151" s="11" t="str">
        <f aca="false">IF(OR(J151="",J151=0),"",_xlfn.MINIFS($E$2:$E$500,$B$2:$B$500,B151,$C$2:$C$500,C151,$F$2:$F$500,F151,$H$2:$H$500,"Trade estimate"))</f>
        <v/>
      </c>
      <c r="M151" s="12" t="str">
        <f aca="false">IF(OR(J151="",J151&lt;2),"",IF(L151=0,"",(K151-L151)/L151))</f>
        <v/>
      </c>
      <c r="N151" s="13" t="str">
        <f aca="false">IF(B151="","",IF(J151&lt;2,"Needs 2+ trade sources",IF(M151&gt;Lists!$E$2,"CHECK","OK")))</f>
        <v/>
      </c>
      <c r="O151" s="9" t="str">
        <f aca="false">IF(B151="","",IF(J151&lt;2,"Needs 2+ trade sources",IF(M151&lt;=Lists!$E$6,"Good",IF(M151&lt;=Lists!$E$2,"Moderate","Bad"))))</f>
        <v/>
      </c>
    </row>
    <row r="152" customFormat="false" ht="14.25" hidden="false" customHeight="true" outlineLevel="0" collapsed="false">
      <c r="A152" s="6"/>
      <c r="B152" s="7"/>
      <c r="C152" s="8"/>
      <c r="D152" s="9" t="str">
        <f aca="false">IF(OR(B152="",C152=""),"",IFERROR(C152-INDEX(Films!$C$2:$C$100,MATCH(B152,Films!$A$2:$A$100,0))+1,""))</f>
        <v/>
      </c>
      <c r="E152" s="10"/>
      <c r="F152" s="7"/>
      <c r="G152" s="7"/>
      <c r="H152" s="7"/>
      <c r="I152" s="7"/>
      <c r="J152" s="9" t="str">
        <f aca="false">IF(B152="","",COUNTIFS($B$2:$B$500,B152,$C$2:$C$500,C152,$F$2:$F$500,F152,$H$2:$H$500,"Trade estimate"))</f>
        <v/>
      </c>
      <c r="K152" s="11" t="str">
        <f aca="false">IF(OR(J152="",J152=0),"",_xlfn.MAXIFS($E$2:$E$500,$B$2:$B$500,B152,$C$2:$C$500,C152,$F$2:$F$500,F152,$H$2:$H$500,"Trade estimate"))</f>
        <v/>
      </c>
      <c r="L152" s="11" t="str">
        <f aca="false">IF(OR(J152="",J152=0),"",_xlfn.MINIFS($E$2:$E$500,$B$2:$B$500,B152,$C$2:$C$500,C152,$F$2:$F$500,F152,$H$2:$H$500,"Trade estimate"))</f>
        <v/>
      </c>
      <c r="M152" s="12" t="str">
        <f aca="false">IF(OR(J152="",J152&lt;2),"",IF(L152=0,"",(K152-L152)/L152))</f>
        <v/>
      </c>
      <c r="N152" s="13" t="str">
        <f aca="false">IF(B152="","",IF(J152&lt;2,"Needs 2+ trade sources",IF(M152&gt;Lists!$E$2,"CHECK","OK")))</f>
        <v/>
      </c>
      <c r="O152" s="9" t="str">
        <f aca="false">IF(B152="","",IF(J152&lt;2,"Needs 2+ trade sources",IF(M152&lt;=Lists!$E$6,"Good",IF(M152&lt;=Lists!$E$2,"Moderate","Bad"))))</f>
        <v/>
      </c>
    </row>
    <row r="153" customFormat="false" ht="14.25" hidden="false" customHeight="true" outlineLevel="0" collapsed="false">
      <c r="A153" s="6"/>
      <c r="B153" s="7"/>
      <c r="C153" s="8"/>
      <c r="D153" s="9" t="str">
        <f aca="false">IF(OR(B153="",C153=""),"",IFERROR(C153-INDEX(Films!$C$2:$C$100,MATCH(B153,Films!$A$2:$A$100,0))+1,""))</f>
        <v/>
      </c>
      <c r="E153" s="10"/>
      <c r="F153" s="7"/>
      <c r="G153" s="7"/>
      <c r="H153" s="7"/>
      <c r="I153" s="7"/>
      <c r="J153" s="9" t="str">
        <f aca="false">IF(B153="","",COUNTIFS($B$2:$B$500,B153,$C$2:$C$500,C153,$F$2:$F$500,F153,$H$2:$H$500,"Trade estimate"))</f>
        <v/>
      </c>
      <c r="K153" s="11" t="str">
        <f aca="false">IF(OR(J153="",J153=0),"",_xlfn.MAXIFS($E$2:$E$500,$B$2:$B$500,B153,$C$2:$C$500,C153,$F$2:$F$500,F153,$H$2:$H$500,"Trade estimate"))</f>
        <v/>
      </c>
      <c r="L153" s="11" t="str">
        <f aca="false">IF(OR(J153="",J153=0),"",_xlfn.MINIFS($E$2:$E$500,$B$2:$B$500,B153,$C$2:$C$500,C153,$F$2:$F$500,F153,$H$2:$H$500,"Trade estimate"))</f>
        <v/>
      </c>
      <c r="M153" s="12" t="str">
        <f aca="false">IF(OR(J153="",J153&lt;2),"",IF(L153=0,"",(K153-L153)/L153))</f>
        <v/>
      </c>
      <c r="N153" s="13" t="str">
        <f aca="false">IF(B153="","",IF(J153&lt;2,"Needs 2+ trade sources",IF(M153&gt;Lists!$E$2,"CHECK","OK")))</f>
        <v/>
      </c>
      <c r="O153" s="9" t="str">
        <f aca="false">IF(B153="","",IF(J153&lt;2,"Needs 2+ trade sources",IF(M153&lt;=Lists!$E$6,"Good",IF(M153&lt;=Lists!$E$2,"Moderate","Bad"))))</f>
        <v/>
      </c>
    </row>
    <row r="154" customFormat="false" ht="14.25" hidden="false" customHeight="true" outlineLevel="0" collapsed="false">
      <c r="A154" s="6"/>
      <c r="B154" s="7"/>
      <c r="C154" s="8"/>
      <c r="D154" s="9" t="str">
        <f aca="false">IF(OR(B154="",C154=""),"",IFERROR(C154-INDEX(Films!$C$2:$C$100,MATCH(B154,Films!$A$2:$A$100,0))+1,""))</f>
        <v/>
      </c>
      <c r="E154" s="10"/>
      <c r="F154" s="7"/>
      <c r="G154" s="7"/>
      <c r="H154" s="7"/>
      <c r="I154" s="7"/>
      <c r="J154" s="9" t="str">
        <f aca="false">IF(B154="","",COUNTIFS($B$2:$B$500,B154,$C$2:$C$500,C154,$F$2:$F$500,F154,$H$2:$H$500,"Trade estimate"))</f>
        <v/>
      </c>
      <c r="K154" s="11" t="str">
        <f aca="false">IF(OR(J154="",J154=0),"",_xlfn.MAXIFS($E$2:$E$500,$B$2:$B$500,B154,$C$2:$C$500,C154,$F$2:$F$500,F154,$H$2:$H$500,"Trade estimate"))</f>
        <v/>
      </c>
      <c r="L154" s="11" t="str">
        <f aca="false">IF(OR(J154="",J154=0),"",_xlfn.MINIFS($E$2:$E$500,$B$2:$B$500,B154,$C$2:$C$500,C154,$F$2:$F$500,F154,$H$2:$H$500,"Trade estimate"))</f>
        <v/>
      </c>
      <c r="M154" s="12" t="str">
        <f aca="false">IF(OR(J154="",J154&lt;2),"",IF(L154=0,"",(K154-L154)/L154))</f>
        <v/>
      </c>
      <c r="N154" s="13" t="str">
        <f aca="false">IF(B154="","",IF(J154&lt;2,"Needs 2+ trade sources",IF(M154&gt;Lists!$E$2,"CHECK","OK")))</f>
        <v/>
      </c>
      <c r="O154" s="9" t="str">
        <f aca="false">IF(B154="","",IF(J154&lt;2,"Needs 2+ trade sources",IF(M154&lt;=Lists!$E$6,"Good",IF(M154&lt;=Lists!$E$2,"Moderate","Bad"))))</f>
        <v/>
      </c>
    </row>
    <row r="155" customFormat="false" ht="14.25" hidden="false" customHeight="true" outlineLevel="0" collapsed="false">
      <c r="A155" s="6"/>
      <c r="B155" s="7"/>
      <c r="C155" s="8"/>
      <c r="D155" s="9" t="str">
        <f aca="false">IF(OR(B155="",C155=""),"",IFERROR(C155-INDEX(Films!$C$2:$C$100,MATCH(B155,Films!$A$2:$A$100,0))+1,""))</f>
        <v/>
      </c>
      <c r="E155" s="10"/>
      <c r="F155" s="7"/>
      <c r="G155" s="7"/>
      <c r="H155" s="7"/>
      <c r="I155" s="7"/>
      <c r="J155" s="9" t="str">
        <f aca="false">IF(B155="","",COUNTIFS($B$2:$B$500,B155,$C$2:$C$500,C155,$F$2:$F$500,F155,$H$2:$H$500,"Trade estimate"))</f>
        <v/>
      </c>
      <c r="K155" s="11" t="str">
        <f aca="false">IF(OR(J155="",J155=0),"",_xlfn.MAXIFS($E$2:$E$500,$B$2:$B$500,B155,$C$2:$C$500,C155,$F$2:$F$500,F155,$H$2:$H$500,"Trade estimate"))</f>
        <v/>
      </c>
      <c r="L155" s="11" t="str">
        <f aca="false">IF(OR(J155="",J155=0),"",_xlfn.MINIFS($E$2:$E$500,$B$2:$B$500,B155,$C$2:$C$500,C155,$F$2:$F$500,F155,$H$2:$H$500,"Trade estimate"))</f>
        <v/>
      </c>
      <c r="M155" s="12" t="str">
        <f aca="false">IF(OR(J155="",J155&lt;2),"",IF(L155=0,"",(K155-L155)/L155))</f>
        <v/>
      </c>
      <c r="N155" s="13" t="str">
        <f aca="false">IF(B155="","",IF(J155&lt;2,"Needs 2+ trade sources",IF(M155&gt;Lists!$E$2,"CHECK","OK")))</f>
        <v/>
      </c>
      <c r="O155" s="9" t="str">
        <f aca="false">IF(B155="","",IF(J155&lt;2,"Needs 2+ trade sources",IF(M155&lt;=Lists!$E$6,"Good",IF(M155&lt;=Lists!$E$2,"Moderate","Bad"))))</f>
        <v/>
      </c>
    </row>
    <row r="156" customFormat="false" ht="14.25" hidden="false" customHeight="true" outlineLevel="0" collapsed="false">
      <c r="A156" s="6"/>
      <c r="B156" s="7"/>
      <c r="C156" s="8"/>
      <c r="D156" s="9" t="str">
        <f aca="false">IF(OR(B156="",C156=""),"",IFERROR(C156-INDEX(Films!$C$2:$C$100,MATCH(B156,Films!$A$2:$A$100,0))+1,""))</f>
        <v/>
      </c>
      <c r="E156" s="10"/>
      <c r="F156" s="7"/>
      <c r="G156" s="7"/>
      <c r="H156" s="7"/>
      <c r="I156" s="7"/>
      <c r="J156" s="9" t="str">
        <f aca="false">IF(B156="","",COUNTIFS($B$2:$B$500,B156,$C$2:$C$500,C156,$F$2:$F$500,F156,$H$2:$H$500,"Trade estimate"))</f>
        <v/>
      </c>
      <c r="K156" s="11" t="str">
        <f aca="false">IF(OR(J156="",J156=0),"",_xlfn.MAXIFS($E$2:$E$500,$B$2:$B$500,B156,$C$2:$C$500,C156,$F$2:$F$500,F156,$H$2:$H$500,"Trade estimate"))</f>
        <v/>
      </c>
      <c r="L156" s="11" t="str">
        <f aca="false">IF(OR(J156="",J156=0),"",_xlfn.MINIFS($E$2:$E$500,$B$2:$B$500,B156,$C$2:$C$500,C156,$F$2:$F$500,F156,$H$2:$H$500,"Trade estimate"))</f>
        <v/>
      </c>
      <c r="M156" s="12" t="str">
        <f aca="false">IF(OR(J156="",J156&lt;2),"",IF(L156=0,"",(K156-L156)/L156))</f>
        <v/>
      </c>
      <c r="N156" s="13" t="str">
        <f aca="false">IF(B156="","",IF(J156&lt;2,"Needs 2+ trade sources",IF(M156&gt;Lists!$E$2,"CHECK","OK")))</f>
        <v/>
      </c>
      <c r="O156" s="9" t="str">
        <f aca="false">IF(B156="","",IF(J156&lt;2,"Needs 2+ trade sources",IF(M156&lt;=Lists!$E$6,"Good",IF(M156&lt;=Lists!$E$2,"Moderate","Bad"))))</f>
        <v/>
      </c>
    </row>
    <row r="157" customFormat="false" ht="14.25" hidden="false" customHeight="true" outlineLevel="0" collapsed="false">
      <c r="A157" s="6"/>
      <c r="B157" s="7"/>
      <c r="C157" s="8"/>
      <c r="D157" s="9" t="str">
        <f aca="false">IF(OR(B157="",C157=""),"",IFERROR(C157-INDEX(Films!$C$2:$C$100,MATCH(B157,Films!$A$2:$A$100,0))+1,""))</f>
        <v/>
      </c>
      <c r="E157" s="10"/>
      <c r="F157" s="7"/>
      <c r="G157" s="7"/>
      <c r="H157" s="7"/>
      <c r="I157" s="7"/>
      <c r="J157" s="9" t="str">
        <f aca="false">IF(B157="","",COUNTIFS($B$2:$B$500,B157,$C$2:$C$500,C157,$F$2:$F$500,F157,$H$2:$H$500,"Trade estimate"))</f>
        <v/>
      </c>
      <c r="K157" s="11" t="str">
        <f aca="false">IF(OR(J157="",J157=0),"",_xlfn.MAXIFS($E$2:$E$500,$B$2:$B$500,B157,$C$2:$C$500,C157,$F$2:$F$500,F157,$H$2:$H$500,"Trade estimate"))</f>
        <v/>
      </c>
      <c r="L157" s="11" t="str">
        <f aca="false">IF(OR(J157="",J157=0),"",_xlfn.MINIFS($E$2:$E$500,$B$2:$B$500,B157,$C$2:$C$500,C157,$F$2:$F$500,F157,$H$2:$H$500,"Trade estimate"))</f>
        <v/>
      </c>
      <c r="M157" s="12" t="str">
        <f aca="false">IF(OR(J157="",J157&lt;2),"",IF(L157=0,"",(K157-L157)/L157))</f>
        <v/>
      </c>
      <c r="N157" s="13" t="str">
        <f aca="false">IF(B157="","",IF(J157&lt;2,"Needs 2+ trade sources",IF(M157&gt;Lists!$E$2,"CHECK","OK")))</f>
        <v/>
      </c>
      <c r="O157" s="9" t="str">
        <f aca="false">IF(B157="","",IF(J157&lt;2,"Needs 2+ trade sources",IF(M157&lt;=Lists!$E$6,"Good",IF(M157&lt;=Lists!$E$2,"Moderate","Bad"))))</f>
        <v/>
      </c>
    </row>
    <row r="158" customFormat="false" ht="14.25" hidden="false" customHeight="true" outlineLevel="0" collapsed="false">
      <c r="A158" s="6"/>
      <c r="B158" s="7"/>
      <c r="C158" s="8"/>
      <c r="D158" s="9" t="str">
        <f aca="false">IF(OR(B158="",C158=""),"",IFERROR(C158-INDEX(Films!$C$2:$C$100,MATCH(B158,Films!$A$2:$A$100,0))+1,""))</f>
        <v/>
      </c>
      <c r="E158" s="10"/>
      <c r="F158" s="7"/>
      <c r="G158" s="7"/>
      <c r="H158" s="7"/>
      <c r="I158" s="7"/>
      <c r="J158" s="9" t="str">
        <f aca="false">IF(B158="","",COUNTIFS($B$2:$B$500,B158,$C$2:$C$500,C158,$F$2:$F$500,F158,$H$2:$H$500,"Trade estimate"))</f>
        <v/>
      </c>
      <c r="K158" s="11" t="str">
        <f aca="false">IF(OR(J158="",J158=0),"",_xlfn.MAXIFS($E$2:$E$500,$B$2:$B$500,B158,$C$2:$C$500,C158,$F$2:$F$500,F158,$H$2:$H$500,"Trade estimate"))</f>
        <v/>
      </c>
      <c r="L158" s="11" t="str">
        <f aca="false">IF(OR(J158="",J158=0),"",_xlfn.MINIFS($E$2:$E$500,$B$2:$B$500,B158,$C$2:$C$500,C158,$F$2:$F$500,F158,$H$2:$H$500,"Trade estimate"))</f>
        <v/>
      </c>
      <c r="M158" s="12" t="str">
        <f aca="false">IF(OR(J158="",J158&lt;2),"",IF(L158=0,"",(K158-L158)/L158))</f>
        <v/>
      </c>
      <c r="N158" s="13" t="str">
        <f aca="false">IF(B158="","",IF(J158&lt;2,"Needs 2+ trade sources",IF(M158&gt;Lists!$E$2,"CHECK","OK")))</f>
        <v/>
      </c>
      <c r="O158" s="9" t="str">
        <f aca="false">IF(B158="","",IF(J158&lt;2,"Needs 2+ trade sources",IF(M158&lt;=Lists!$E$6,"Good",IF(M158&lt;=Lists!$E$2,"Moderate","Bad"))))</f>
        <v/>
      </c>
    </row>
    <row r="159" customFormat="false" ht="14.25" hidden="false" customHeight="true" outlineLevel="0" collapsed="false">
      <c r="A159" s="6"/>
      <c r="B159" s="7"/>
      <c r="C159" s="8"/>
      <c r="D159" s="9" t="str">
        <f aca="false">IF(OR(B159="",C159=""),"",IFERROR(C159-INDEX(Films!$C$2:$C$100,MATCH(B159,Films!$A$2:$A$100,0))+1,""))</f>
        <v/>
      </c>
      <c r="E159" s="10"/>
      <c r="F159" s="7"/>
      <c r="G159" s="7"/>
      <c r="H159" s="7"/>
      <c r="I159" s="7"/>
      <c r="J159" s="9" t="str">
        <f aca="false">IF(B159="","",COUNTIFS($B$2:$B$500,B159,$C$2:$C$500,C159,$F$2:$F$500,F159,$H$2:$H$500,"Trade estimate"))</f>
        <v/>
      </c>
      <c r="K159" s="11" t="str">
        <f aca="false">IF(OR(J159="",J159=0),"",_xlfn.MAXIFS($E$2:$E$500,$B$2:$B$500,B159,$C$2:$C$500,C159,$F$2:$F$500,F159,$H$2:$H$500,"Trade estimate"))</f>
        <v/>
      </c>
      <c r="L159" s="11" t="str">
        <f aca="false">IF(OR(J159="",J159=0),"",_xlfn.MINIFS($E$2:$E$500,$B$2:$B$500,B159,$C$2:$C$500,C159,$F$2:$F$500,F159,$H$2:$H$500,"Trade estimate"))</f>
        <v/>
      </c>
      <c r="M159" s="12" t="str">
        <f aca="false">IF(OR(J159="",J159&lt;2),"",IF(L159=0,"",(K159-L159)/L159))</f>
        <v/>
      </c>
      <c r="N159" s="13" t="str">
        <f aca="false">IF(B159="","",IF(J159&lt;2,"Needs 2+ trade sources",IF(M159&gt;Lists!$E$2,"CHECK","OK")))</f>
        <v/>
      </c>
      <c r="O159" s="9" t="str">
        <f aca="false">IF(B159="","",IF(J159&lt;2,"Needs 2+ trade sources",IF(M159&lt;=Lists!$E$6,"Good",IF(M159&lt;=Lists!$E$2,"Moderate","Bad"))))</f>
        <v/>
      </c>
    </row>
    <row r="160" customFormat="false" ht="14.25" hidden="false" customHeight="true" outlineLevel="0" collapsed="false">
      <c r="A160" s="6"/>
      <c r="B160" s="7"/>
      <c r="C160" s="8"/>
      <c r="D160" s="9" t="str">
        <f aca="false">IF(OR(B160="",C160=""),"",IFERROR(C160-INDEX(Films!$C$2:$C$100,MATCH(B160,Films!$A$2:$A$100,0))+1,""))</f>
        <v/>
      </c>
      <c r="E160" s="10"/>
      <c r="F160" s="7"/>
      <c r="G160" s="7"/>
      <c r="H160" s="7"/>
      <c r="I160" s="7"/>
      <c r="J160" s="9" t="str">
        <f aca="false">IF(B160="","",COUNTIFS($B$2:$B$500,B160,$C$2:$C$500,C160,$F$2:$F$500,F160,$H$2:$H$500,"Trade estimate"))</f>
        <v/>
      </c>
      <c r="K160" s="11" t="str">
        <f aca="false">IF(OR(J160="",J160=0),"",_xlfn.MAXIFS($E$2:$E$500,$B$2:$B$500,B160,$C$2:$C$500,C160,$F$2:$F$500,F160,$H$2:$H$500,"Trade estimate"))</f>
        <v/>
      </c>
      <c r="L160" s="11" t="str">
        <f aca="false">IF(OR(J160="",J160=0),"",_xlfn.MINIFS($E$2:$E$500,$B$2:$B$500,B160,$C$2:$C$500,C160,$F$2:$F$500,F160,$H$2:$H$500,"Trade estimate"))</f>
        <v/>
      </c>
      <c r="M160" s="12" t="str">
        <f aca="false">IF(OR(J160="",J160&lt;2),"",IF(L160=0,"",(K160-L160)/L160))</f>
        <v/>
      </c>
      <c r="N160" s="13" t="str">
        <f aca="false">IF(B160="","",IF(J160&lt;2,"Needs 2+ trade sources",IF(M160&gt;Lists!$E$2,"CHECK","OK")))</f>
        <v/>
      </c>
      <c r="O160" s="9" t="str">
        <f aca="false">IF(B160="","",IF(J160&lt;2,"Needs 2+ trade sources",IF(M160&lt;=Lists!$E$6,"Good",IF(M160&lt;=Lists!$E$2,"Moderate","Bad"))))</f>
        <v/>
      </c>
    </row>
    <row r="161" customFormat="false" ht="14.25" hidden="false" customHeight="true" outlineLevel="0" collapsed="false">
      <c r="A161" s="6"/>
      <c r="B161" s="7"/>
      <c r="C161" s="8"/>
      <c r="D161" s="9" t="str">
        <f aca="false">IF(OR(B161="",C161=""),"",IFERROR(C161-INDEX(Films!$C$2:$C$100,MATCH(B161,Films!$A$2:$A$100,0))+1,""))</f>
        <v/>
      </c>
      <c r="E161" s="10"/>
      <c r="F161" s="7"/>
      <c r="G161" s="7"/>
      <c r="H161" s="7"/>
      <c r="I161" s="7"/>
      <c r="J161" s="9" t="str">
        <f aca="false">IF(B161="","",COUNTIFS($B$2:$B$500,B161,$C$2:$C$500,C161,$F$2:$F$500,F161,$H$2:$H$500,"Trade estimate"))</f>
        <v/>
      </c>
      <c r="K161" s="11" t="str">
        <f aca="false">IF(OR(J161="",J161=0),"",_xlfn.MAXIFS($E$2:$E$500,$B$2:$B$500,B161,$C$2:$C$500,C161,$F$2:$F$500,F161,$H$2:$H$500,"Trade estimate"))</f>
        <v/>
      </c>
      <c r="L161" s="11" t="str">
        <f aca="false">IF(OR(J161="",J161=0),"",_xlfn.MINIFS($E$2:$E$500,$B$2:$B$500,B161,$C$2:$C$500,C161,$F$2:$F$500,F161,$H$2:$H$500,"Trade estimate"))</f>
        <v/>
      </c>
      <c r="M161" s="12" t="str">
        <f aca="false">IF(OR(J161="",J161&lt;2),"",IF(L161=0,"",(K161-L161)/L161))</f>
        <v/>
      </c>
      <c r="N161" s="13" t="str">
        <f aca="false">IF(B161="","",IF(J161&lt;2,"Needs 2+ trade sources",IF(M161&gt;Lists!$E$2,"CHECK","OK")))</f>
        <v/>
      </c>
      <c r="O161" s="9" t="str">
        <f aca="false">IF(B161="","",IF(J161&lt;2,"Needs 2+ trade sources",IF(M161&lt;=Lists!$E$6,"Good",IF(M161&lt;=Lists!$E$2,"Moderate","Bad"))))</f>
        <v/>
      </c>
    </row>
    <row r="162" customFormat="false" ht="14.25" hidden="false" customHeight="true" outlineLevel="0" collapsed="false">
      <c r="A162" s="6"/>
      <c r="B162" s="7"/>
      <c r="C162" s="8"/>
      <c r="D162" s="9" t="str">
        <f aca="false">IF(OR(B162="",C162=""),"",IFERROR(C162-INDEX(Films!$C$2:$C$100,MATCH(B162,Films!$A$2:$A$100,0))+1,""))</f>
        <v/>
      </c>
      <c r="E162" s="10"/>
      <c r="F162" s="7"/>
      <c r="G162" s="7"/>
      <c r="H162" s="7"/>
      <c r="I162" s="7"/>
      <c r="J162" s="9" t="str">
        <f aca="false">IF(B162="","",COUNTIFS($B$2:$B$500,B162,$C$2:$C$500,C162,$F$2:$F$500,F162,$H$2:$H$500,"Trade estimate"))</f>
        <v/>
      </c>
      <c r="K162" s="11" t="str">
        <f aca="false">IF(OR(J162="",J162=0),"",_xlfn.MAXIFS($E$2:$E$500,$B$2:$B$500,B162,$C$2:$C$500,C162,$F$2:$F$500,F162,$H$2:$H$500,"Trade estimate"))</f>
        <v/>
      </c>
      <c r="L162" s="11" t="str">
        <f aca="false">IF(OR(J162="",J162=0),"",_xlfn.MINIFS($E$2:$E$500,$B$2:$B$500,B162,$C$2:$C$500,C162,$F$2:$F$500,F162,$H$2:$H$500,"Trade estimate"))</f>
        <v/>
      </c>
      <c r="M162" s="12" t="str">
        <f aca="false">IF(OR(J162="",J162&lt;2),"",IF(L162=0,"",(K162-L162)/L162))</f>
        <v/>
      </c>
      <c r="N162" s="13" t="str">
        <f aca="false">IF(B162="","",IF(J162&lt;2,"Needs 2+ trade sources",IF(M162&gt;Lists!$E$2,"CHECK","OK")))</f>
        <v/>
      </c>
      <c r="O162" s="9" t="str">
        <f aca="false">IF(B162="","",IF(J162&lt;2,"Needs 2+ trade sources",IF(M162&lt;=Lists!$E$6,"Good",IF(M162&lt;=Lists!$E$2,"Moderate","Bad"))))</f>
        <v/>
      </c>
    </row>
    <row r="163" customFormat="false" ht="14.25" hidden="false" customHeight="true" outlineLevel="0" collapsed="false">
      <c r="A163" s="6"/>
      <c r="B163" s="7"/>
      <c r="C163" s="8"/>
      <c r="D163" s="9" t="str">
        <f aca="false">IF(OR(B163="",C163=""),"",IFERROR(C163-INDEX(Films!$C$2:$C$100,MATCH(B163,Films!$A$2:$A$100,0))+1,""))</f>
        <v/>
      </c>
      <c r="E163" s="10"/>
      <c r="F163" s="7"/>
      <c r="G163" s="7"/>
      <c r="H163" s="7"/>
      <c r="I163" s="7"/>
      <c r="J163" s="9" t="str">
        <f aca="false">IF(B163="","",COUNTIFS($B$2:$B$500,B163,$C$2:$C$500,C163,$F$2:$F$500,F163,$H$2:$H$500,"Trade estimate"))</f>
        <v/>
      </c>
      <c r="K163" s="11" t="str">
        <f aca="false">IF(OR(J163="",J163=0),"",_xlfn.MAXIFS($E$2:$E$500,$B$2:$B$500,B163,$C$2:$C$500,C163,$F$2:$F$500,F163,$H$2:$H$500,"Trade estimate"))</f>
        <v/>
      </c>
      <c r="L163" s="11" t="str">
        <f aca="false">IF(OR(J163="",J163=0),"",_xlfn.MINIFS($E$2:$E$500,$B$2:$B$500,B163,$C$2:$C$500,C163,$F$2:$F$500,F163,$H$2:$H$500,"Trade estimate"))</f>
        <v/>
      </c>
      <c r="M163" s="12" t="str">
        <f aca="false">IF(OR(J163="",J163&lt;2),"",IF(L163=0,"",(K163-L163)/L163))</f>
        <v/>
      </c>
      <c r="N163" s="13" t="str">
        <f aca="false">IF(B163="","",IF(J163&lt;2,"Needs 2+ trade sources",IF(M163&gt;Lists!$E$2,"CHECK","OK")))</f>
        <v/>
      </c>
      <c r="O163" s="9" t="str">
        <f aca="false">IF(B163="","",IF(J163&lt;2,"Needs 2+ trade sources",IF(M163&lt;=Lists!$E$6,"Good",IF(M163&lt;=Lists!$E$2,"Moderate","Bad"))))</f>
        <v/>
      </c>
    </row>
    <row r="164" customFormat="false" ht="14.25" hidden="false" customHeight="true" outlineLevel="0" collapsed="false">
      <c r="A164" s="6"/>
      <c r="B164" s="7"/>
      <c r="C164" s="8"/>
      <c r="D164" s="9" t="str">
        <f aca="false">IF(OR(B164="",C164=""),"",IFERROR(C164-INDEX(Films!$C$2:$C$100,MATCH(B164,Films!$A$2:$A$100,0))+1,""))</f>
        <v/>
      </c>
      <c r="E164" s="10"/>
      <c r="F164" s="7"/>
      <c r="G164" s="7"/>
      <c r="H164" s="7"/>
      <c r="I164" s="7"/>
      <c r="J164" s="9" t="str">
        <f aca="false">IF(B164="","",COUNTIFS($B$2:$B$500,B164,$C$2:$C$500,C164,$F$2:$F$500,F164,$H$2:$H$500,"Trade estimate"))</f>
        <v/>
      </c>
      <c r="K164" s="11" t="str">
        <f aca="false">IF(OR(J164="",J164=0),"",_xlfn.MAXIFS($E$2:$E$500,$B$2:$B$500,B164,$C$2:$C$500,C164,$F$2:$F$500,F164,$H$2:$H$500,"Trade estimate"))</f>
        <v/>
      </c>
      <c r="L164" s="11" t="str">
        <f aca="false">IF(OR(J164="",J164=0),"",_xlfn.MINIFS($E$2:$E$500,$B$2:$B$500,B164,$C$2:$C$500,C164,$F$2:$F$500,F164,$H$2:$H$500,"Trade estimate"))</f>
        <v/>
      </c>
      <c r="M164" s="12" t="str">
        <f aca="false">IF(OR(J164="",J164&lt;2),"",IF(L164=0,"",(K164-L164)/L164))</f>
        <v/>
      </c>
      <c r="N164" s="13" t="str">
        <f aca="false">IF(B164="","",IF(J164&lt;2,"Needs 2+ trade sources",IF(M164&gt;Lists!$E$2,"CHECK","OK")))</f>
        <v/>
      </c>
      <c r="O164" s="9" t="str">
        <f aca="false">IF(B164="","",IF(J164&lt;2,"Needs 2+ trade sources",IF(M164&lt;=Lists!$E$6,"Good",IF(M164&lt;=Lists!$E$2,"Moderate","Bad"))))</f>
        <v/>
      </c>
    </row>
    <row r="165" customFormat="false" ht="14.25" hidden="false" customHeight="true" outlineLevel="0" collapsed="false">
      <c r="A165" s="6"/>
      <c r="B165" s="7"/>
      <c r="C165" s="8"/>
      <c r="D165" s="9" t="str">
        <f aca="false">IF(OR(B165="",C165=""),"",IFERROR(C165-INDEX(Films!$C$2:$C$100,MATCH(B165,Films!$A$2:$A$100,0))+1,""))</f>
        <v/>
      </c>
      <c r="E165" s="10"/>
      <c r="F165" s="7"/>
      <c r="G165" s="7"/>
      <c r="H165" s="7"/>
      <c r="I165" s="7"/>
      <c r="J165" s="9" t="str">
        <f aca="false">IF(B165="","",COUNTIFS($B$2:$B$500,B165,$C$2:$C$500,C165,$F$2:$F$500,F165,$H$2:$H$500,"Trade estimate"))</f>
        <v/>
      </c>
      <c r="K165" s="11" t="str">
        <f aca="false">IF(OR(J165="",J165=0),"",_xlfn.MAXIFS($E$2:$E$500,$B$2:$B$500,B165,$C$2:$C$500,C165,$F$2:$F$500,F165,$H$2:$H$500,"Trade estimate"))</f>
        <v/>
      </c>
      <c r="L165" s="11" t="str">
        <f aca="false">IF(OR(J165="",J165=0),"",_xlfn.MINIFS($E$2:$E$500,$B$2:$B$500,B165,$C$2:$C$500,C165,$F$2:$F$500,F165,$H$2:$H$500,"Trade estimate"))</f>
        <v/>
      </c>
      <c r="M165" s="12" t="str">
        <f aca="false">IF(OR(J165="",J165&lt;2),"",IF(L165=0,"",(K165-L165)/L165))</f>
        <v/>
      </c>
      <c r="N165" s="13" t="str">
        <f aca="false">IF(B165="","",IF(J165&lt;2,"Needs 2+ trade sources",IF(M165&gt;Lists!$E$2,"CHECK","OK")))</f>
        <v/>
      </c>
      <c r="O165" s="9" t="str">
        <f aca="false">IF(B165="","",IF(J165&lt;2,"Needs 2+ trade sources",IF(M165&lt;=Lists!$E$6,"Good",IF(M165&lt;=Lists!$E$2,"Moderate","Bad"))))</f>
        <v/>
      </c>
    </row>
    <row r="166" customFormat="false" ht="14.25" hidden="false" customHeight="true" outlineLevel="0" collapsed="false">
      <c r="A166" s="6"/>
      <c r="B166" s="7"/>
      <c r="C166" s="8"/>
      <c r="D166" s="9" t="str">
        <f aca="false">IF(OR(B166="",C166=""),"",IFERROR(C166-INDEX(Films!$C$2:$C$100,MATCH(B166,Films!$A$2:$A$100,0))+1,""))</f>
        <v/>
      </c>
      <c r="E166" s="10"/>
      <c r="F166" s="7"/>
      <c r="G166" s="7"/>
      <c r="H166" s="7"/>
      <c r="I166" s="7"/>
      <c r="J166" s="9" t="str">
        <f aca="false">IF(B166="","",COUNTIFS($B$2:$B$500,B166,$C$2:$C$500,C166,$F$2:$F$500,F166,$H$2:$H$500,"Trade estimate"))</f>
        <v/>
      </c>
      <c r="K166" s="11" t="str">
        <f aca="false">IF(OR(J166="",J166=0),"",_xlfn.MAXIFS($E$2:$E$500,$B$2:$B$500,B166,$C$2:$C$500,C166,$F$2:$F$500,F166,$H$2:$H$500,"Trade estimate"))</f>
        <v/>
      </c>
      <c r="L166" s="11" t="str">
        <f aca="false">IF(OR(J166="",J166=0),"",_xlfn.MINIFS($E$2:$E$500,$B$2:$B$500,B166,$C$2:$C$500,C166,$F$2:$F$500,F166,$H$2:$H$500,"Trade estimate"))</f>
        <v/>
      </c>
      <c r="M166" s="12" t="str">
        <f aca="false">IF(OR(J166="",J166&lt;2),"",IF(L166=0,"",(K166-L166)/L166))</f>
        <v/>
      </c>
      <c r="N166" s="13" t="str">
        <f aca="false">IF(B166="","",IF(J166&lt;2,"Needs 2+ trade sources",IF(M166&gt;Lists!$E$2,"CHECK","OK")))</f>
        <v/>
      </c>
      <c r="O166" s="9" t="str">
        <f aca="false">IF(B166="","",IF(J166&lt;2,"Needs 2+ trade sources",IF(M166&lt;=Lists!$E$6,"Good",IF(M166&lt;=Lists!$E$2,"Moderate","Bad"))))</f>
        <v/>
      </c>
    </row>
    <row r="167" customFormat="false" ht="14.25" hidden="false" customHeight="true" outlineLevel="0" collapsed="false">
      <c r="A167" s="6"/>
      <c r="B167" s="7"/>
      <c r="C167" s="8"/>
      <c r="D167" s="9" t="str">
        <f aca="false">IF(OR(B167="",C167=""),"",IFERROR(C167-INDEX(Films!$C$2:$C$100,MATCH(B167,Films!$A$2:$A$100,0))+1,""))</f>
        <v/>
      </c>
      <c r="E167" s="10"/>
      <c r="F167" s="7"/>
      <c r="G167" s="7"/>
      <c r="H167" s="7"/>
      <c r="I167" s="7"/>
      <c r="J167" s="9" t="str">
        <f aca="false">IF(B167="","",COUNTIFS($B$2:$B$500,B167,$C$2:$C$500,C167,$F$2:$F$500,F167,$H$2:$H$500,"Trade estimate"))</f>
        <v/>
      </c>
      <c r="K167" s="11" t="str">
        <f aca="false">IF(OR(J167="",J167=0),"",_xlfn.MAXIFS($E$2:$E$500,$B$2:$B$500,B167,$C$2:$C$500,C167,$F$2:$F$500,F167,$H$2:$H$500,"Trade estimate"))</f>
        <v/>
      </c>
      <c r="L167" s="11" t="str">
        <f aca="false">IF(OR(J167="",J167=0),"",_xlfn.MINIFS($E$2:$E$500,$B$2:$B$500,B167,$C$2:$C$500,C167,$F$2:$F$500,F167,$H$2:$H$500,"Trade estimate"))</f>
        <v/>
      </c>
      <c r="M167" s="12" t="str">
        <f aca="false">IF(OR(J167="",J167&lt;2),"",IF(L167=0,"",(K167-L167)/L167))</f>
        <v/>
      </c>
      <c r="N167" s="13" t="str">
        <f aca="false">IF(B167="","",IF(J167&lt;2,"Needs 2+ trade sources",IF(M167&gt;Lists!$E$2,"CHECK","OK")))</f>
        <v/>
      </c>
      <c r="O167" s="9" t="str">
        <f aca="false">IF(B167="","",IF(J167&lt;2,"Needs 2+ trade sources",IF(M167&lt;=Lists!$E$6,"Good",IF(M167&lt;=Lists!$E$2,"Moderate","Bad"))))</f>
        <v/>
      </c>
    </row>
    <row r="168" customFormat="false" ht="14.25" hidden="false" customHeight="true" outlineLevel="0" collapsed="false">
      <c r="A168" s="6"/>
      <c r="B168" s="7"/>
      <c r="C168" s="8"/>
      <c r="D168" s="9" t="str">
        <f aca="false">IF(OR(B168="",C168=""),"",IFERROR(C168-INDEX(Films!$C$2:$C$100,MATCH(B168,Films!$A$2:$A$100,0))+1,""))</f>
        <v/>
      </c>
      <c r="E168" s="10"/>
      <c r="F168" s="7"/>
      <c r="G168" s="7"/>
      <c r="H168" s="7"/>
      <c r="I168" s="7"/>
      <c r="J168" s="9" t="str">
        <f aca="false">IF(B168="","",COUNTIFS($B$2:$B$500,B168,$C$2:$C$500,C168,$F$2:$F$500,F168,$H$2:$H$500,"Trade estimate"))</f>
        <v/>
      </c>
      <c r="K168" s="11" t="str">
        <f aca="false">IF(OR(J168="",J168=0),"",_xlfn.MAXIFS($E$2:$E$500,$B$2:$B$500,B168,$C$2:$C$500,C168,$F$2:$F$500,F168,$H$2:$H$500,"Trade estimate"))</f>
        <v/>
      </c>
      <c r="L168" s="11" t="str">
        <f aca="false">IF(OR(J168="",J168=0),"",_xlfn.MINIFS($E$2:$E$500,$B$2:$B$500,B168,$C$2:$C$500,C168,$F$2:$F$500,F168,$H$2:$H$500,"Trade estimate"))</f>
        <v/>
      </c>
      <c r="M168" s="12" t="str">
        <f aca="false">IF(OR(J168="",J168&lt;2),"",IF(L168=0,"",(K168-L168)/L168))</f>
        <v/>
      </c>
      <c r="N168" s="13" t="str">
        <f aca="false">IF(B168="","",IF(J168&lt;2,"Needs 2+ trade sources",IF(M168&gt;Lists!$E$2,"CHECK","OK")))</f>
        <v/>
      </c>
      <c r="O168" s="9" t="str">
        <f aca="false">IF(B168="","",IF(J168&lt;2,"Needs 2+ trade sources",IF(M168&lt;=Lists!$E$6,"Good",IF(M168&lt;=Lists!$E$2,"Moderate","Bad"))))</f>
        <v/>
      </c>
    </row>
    <row r="169" customFormat="false" ht="14.25" hidden="false" customHeight="true" outlineLevel="0" collapsed="false">
      <c r="A169" s="6"/>
      <c r="B169" s="7"/>
      <c r="C169" s="8"/>
      <c r="D169" s="9" t="str">
        <f aca="false">IF(OR(B169="",C169=""),"",IFERROR(C169-INDEX(Films!$C$2:$C$100,MATCH(B169,Films!$A$2:$A$100,0))+1,""))</f>
        <v/>
      </c>
      <c r="E169" s="10"/>
      <c r="F169" s="7"/>
      <c r="G169" s="7"/>
      <c r="H169" s="7"/>
      <c r="I169" s="7"/>
      <c r="J169" s="9" t="str">
        <f aca="false">IF(B169="","",COUNTIFS($B$2:$B$500,B169,$C$2:$C$500,C169,$F$2:$F$500,F169,$H$2:$H$500,"Trade estimate"))</f>
        <v/>
      </c>
      <c r="K169" s="11" t="str">
        <f aca="false">IF(OR(J169="",J169=0),"",_xlfn.MAXIFS($E$2:$E$500,$B$2:$B$500,B169,$C$2:$C$500,C169,$F$2:$F$500,F169,$H$2:$H$500,"Trade estimate"))</f>
        <v/>
      </c>
      <c r="L169" s="11" t="str">
        <f aca="false">IF(OR(J169="",J169=0),"",_xlfn.MINIFS($E$2:$E$500,$B$2:$B$500,B169,$C$2:$C$500,C169,$F$2:$F$500,F169,$H$2:$H$500,"Trade estimate"))</f>
        <v/>
      </c>
      <c r="M169" s="12" t="str">
        <f aca="false">IF(OR(J169="",J169&lt;2),"",IF(L169=0,"",(K169-L169)/L169))</f>
        <v/>
      </c>
      <c r="N169" s="13" t="str">
        <f aca="false">IF(B169="","",IF(J169&lt;2,"Needs 2+ trade sources",IF(M169&gt;Lists!$E$2,"CHECK","OK")))</f>
        <v/>
      </c>
      <c r="O169" s="9" t="str">
        <f aca="false">IF(B169="","",IF(J169&lt;2,"Needs 2+ trade sources",IF(M169&lt;=Lists!$E$6,"Good",IF(M169&lt;=Lists!$E$2,"Moderate","Bad"))))</f>
        <v/>
      </c>
    </row>
    <row r="170" customFormat="false" ht="14.25" hidden="false" customHeight="true" outlineLevel="0" collapsed="false">
      <c r="A170" s="6"/>
      <c r="B170" s="7"/>
      <c r="C170" s="8"/>
      <c r="D170" s="9" t="str">
        <f aca="false">IF(OR(B170="",C170=""),"",IFERROR(C170-INDEX(Films!$C$2:$C$100,MATCH(B170,Films!$A$2:$A$100,0))+1,""))</f>
        <v/>
      </c>
      <c r="E170" s="10"/>
      <c r="F170" s="7"/>
      <c r="G170" s="7"/>
      <c r="H170" s="7"/>
      <c r="I170" s="7"/>
      <c r="J170" s="9" t="str">
        <f aca="false">IF(B170="","",COUNTIFS($B$2:$B$500,B170,$C$2:$C$500,C170,$F$2:$F$500,F170,$H$2:$H$500,"Trade estimate"))</f>
        <v/>
      </c>
      <c r="K170" s="11" t="str">
        <f aca="false">IF(OR(J170="",J170=0),"",_xlfn.MAXIFS($E$2:$E$500,$B$2:$B$500,B170,$C$2:$C$500,C170,$F$2:$F$500,F170,$H$2:$H$500,"Trade estimate"))</f>
        <v/>
      </c>
      <c r="L170" s="11" t="str">
        <f aca="false">IF(OR(J170="",J170=0),"",_xlfn.MINIFS($E$2:$E$500,$B$2:$B$500,B170,$C$2:$C$500,C170,$F$2:$F$500,F170,$H$2:$H$500,"Trade estimate"))</f>
        <v/>
      </c>
      <c r="M170" s="12" t="str">
        <f aca="false">IF(OR(J170="",J170&lt;2),"",IF(L170=0,"",(K170-L170)/L170))</f>
        <v/>
      </c>
      <c r="N170" s="13" t="str">
        <f aca="false">IF(B170="","",IF(J170&lt;2,"Needs 2+ trade sources",IF(M170&gt;Lists!$E$2,"CHECK","OK")))</f>
        <v/>
      </c>
      <c r="O170" s="9" t="str">
        <f aca="false">IF(B170="","",IF(J170&lt;2,"Needs 2+ trade sources",IF(M170&lt;=Lists!$E$6,"Good",IF(M170&lt;=Lists!$E$2,"Moderate","Bad"))))</f>
        <v/>
      </c>
    </row>
    <row r="171" customFormat="false" ht="14.25" hidden="false" customHeight="true" outlineLevel="0" collapsed="false">
      <c r="A171" s="6"/>
      <c r="B171" s="7"/>
      <c r="C171" s="8"/>
      <c r="D171" s="9" t="str">
        <f aca="false">IF(OR(B171="",C171=""),"",IFERROR(C171-INDEX(Films!$C$2:$C$100,MATCH(B171,Films!$A$2:$A$100,0))+1,""))</f>
        <v/>
      </c>
      <c r="E171" s="10"/>
      <c r="F171" s="7"/>
      <c r="G171" s="7"/>
      <c r="H171" s="7"/>
      <c r="I171" s="7"/>
      <c r="J171" s="9" t="str">
        <f aca="false">IF(B171="","",COUNTIFS($B$2:$B$500,B171,$C$2:$C$500,C171,$F$2:$F$500,F171,$H$2:$H$500,"Trade estimate"))</f>
        <v/>
      </c>
      <c r="K171" s="11" t="str">
        <f aca="false">IF(OR(J171="",J171=0),"",_xlfn.MAXIFS($E$2:$E$500,$B$2:$B$500,B171,$C$2:$C$500,C171,$F$2:$F$500,F171,$H$2:$H$500,"Trade estimate"))</f>
        <v/>
      </c>
      <c r="L171" s="11" t="str">
        <f aca="false">IF(OR(J171="",J171=0),"",_xlfn.MINIFS($E$2:$E$500,$B$2:$B$500,B171,$C$2:$C$500,C171,$F$2:$F$500,F171,$H$2:$H$500,"Trade estimate"))</f>
        <v/>
      </c>
      <c r="M171" s="12" t="str">
        <f aca="false">IF(OR(J171="",J171&lt;2),"",IF(L171=0,"",(K171-L171)/L171))</f>
        <v/>
      </c>
      <c r="N171" s="13" t="str">
        <f aca="false">IF(B171="","",IF(J171&lt;2,"Needs 2+ trade sources",IF(M171&gt;Lists!$E$2,"CHECK","OK")))</f>
        <v/>
      </c>
      <c r="O171" s="9" t="str">
        <f aca="false">IF(B171="","",IF(J171&lt;2,"Needs 2+ trade sources",IF(M171&lt;=Lists!$E$6,"Good",IF(M171&lt;=Lists!$E$2,"Moderate","Bad"))))</f>
        <v/>
      </c>
    </row>
    <row r="172" customFormat="false" ht="14.25" hidden="false" customHeight="true" outlineLevel="0" collapsed="false">
      <c r="A172" s="6"/>
      <c r="B172" s="7"/>
      <c r="C172" s="8"/>
      <c r="D172" s="9" t="str">
        <f aca="false">IF(OR(B172="",C172=""),"",IFERROR(C172-INDEX(Films!$C$2:$C$100,MATCH(B172,Films!$A$2:$A$100,0))+1,""))</f>
        <v/>
      </c>
      <c r="E172" s="10"/>
      <c r="F172" s="7"/>
      <c r="G172" s="7"/>
      <c r="H172" s="7"/>
      <c r="I172" s="7"/>
      <c r="J172" s="9" t="str">
        <f aca="false">IF(B172="","",COUNTIFS($B$2:$B$500,B172,$C$2:$C$500,C172,$F$2:$F$500,F172,$H$2:$H$500,"Trade estimate"))</f>
        <v/>
      </c>
      <c r="K172" s="11" t="str">
        <f aca="false">IF(OR(J172="",J172=0),"",_xlfn.MAXIFS($E$2:$E$500,$B$2:$B$500,B172,$C$2:$C$500,C172,$F$2:$F$500,F172,$H$2:$H$500,"Trade estimate"))</f>
        <v/>
      </c>
      <c r="L172" s="11" t="str">
        <f aca="false">IF(OR(J172="",J172=0),"",_xlfn.MINIFS($E$2:$E$500,$B$2:$B$500,B172,$C$2:$C$500,C172,$F$2:$F$500,F172,$H$2:$H$500,"Trade estimate"))</f>
        <v/>
      </c>
      <c r="M172" s="12" t="str">
        <f aca="false">IF(OR(J172="",J172&lt;2),"",IF(L172=0,"",(K172-L172)/L172))</f>
        <v/>
      </c>
      <c r="N172" s="13" t="str">
        <f aca="false">IF(B172="","",IF(J172&lt;2,"Needs 2+ trade sources",IF(M172&gt;Lists!$E$2,"CHECK","OK")))</f>
        <v/>
      </c>
      <c r="O172" s="9" t="str">
        <f aca="false">IF(B172="","",IF(J172&lt;2,"Needs 2+ trade sources",IF(M172&lt;=Lists!$E$6,"Good",IF(M172&lt;=Lists!$E$2,"Moderate","Bad"))))</f>
        <v/>
      </c>
    </row>
    <row r="173" customFormat="false" ht="14.25" hidden="false" customHeight="true" outlineLevel="0" collapsed="false">
      <c r="A173" s="6"/>
      <c r="B173" s="7"/>
      <c r="C173" s="8"/>
      <c r="D173" s="9" t="str">
        <f aca="false">IF(OR(B173="",C173=""),"",IFERROR(C173-INDEX(Films!$C$2:$C$100,MATCH(B173,Films!$A$2:$A$100,0))+1,""))</f>
        <v/>
      </c>
      <c r="E173" s="10"/>
      <c r="F173" s="7"/>
      <c r="G173" s="7"/>
      <c r="H173" s="7"/>
      <c r="I173" s="7"/>
      <c r="J173" s="9" t="str">
        <f aca="false">IF(B173="","",COUNTIFS($B$2:$B$500,B173,$C$2:$C$500,C173,$F$2:$F$500,F173,$H$2:$H$500,"Trade estimate"))</f>
        <v/>
      </c>
      <c r="K173" s="11" t="str">
        <f aca="false">IF(OR(J173="",J173=0),"",_xlfn.MAXIFS($E$2:$E$500,$B$2:$B$500,B173,$C$2:$C$500,C173,$F$2:$F$500,F173,$H$2:$H$500,"Trade estimate"))</f>
        <v/>
      </c>
      <c r="L173" s="11" t="str">
        <f aca="false">IF(OR(J173="",J173=0),"",_xlfn.MINIFS($E$2:$E$500,$B$2:$B$500,B173,$C$2:$C$500,C173,$F$2:$F$500,F173,$H$2:$H$500,"Trade estimate"))</f>
        <v/>
      </c>
      <c r="M173" s="12" t="str">
        <f aca="false">IF(OR(J173="",J173&lt;2),"",IF(L173=0,"",(K173-L173)/L173))</f>
        <v/>
      </c>
      <c r="N173" s="13" t="str">
        <f aca="false">IF(B173="","",IF(J173&lt;2,"Needs 2+ trade sources",IF(M173&gt;Lists!$E$2,"CHECK","OK")))</f>
        <v/>
      </c>
      <c r="O173" s="9" t="str">
        <f aca="false">IF(B173="","",IF(J173&lt;2,"Needs 2+ trade sources",IF(M173&lt;=Lists!$E$6,"Good",IF(M173&lt;=Lists!$E$2,"Moderate","Bad"))))</f>
        <v/>
      </c>
    </row>
    <row r="174" customFormat="false" ht="14.25" hidden="false" customHeight="true" outlineLevel="0" collapsed="false">
      <c r="A174" s="6"/>
      <c r="B174" s="7"/>
      <c r="C174" s="8"/>
      <c r="D174" s="9" t="str">
        <f aca="false">IF(OR(B174="",C174=""),"",IFERROR(C174-INDEX(Films!$C$2:$C$100,MATCH(B174,Films!$A$2:$A$100,0))+1,""))</f>
        <v/>
      </c>
      <c r="E174" s="10"/>
      <c r="F174" s="7"/>
      <c r="G174" s="7"/>
      <c r="H174" s="7"/>
      <c r="I174" s="7"/>
      <c r="J174" s="9" t="str">
        <f aca="false">IF(B174="","",COUNTIFS($B$2:$B$500,B174,$C$2:$C$500,C174,$F$2:$F$500,F174,$H$2:$H$500,"Trade estimate"))</f>
        <v/>
      </c>
      <c r="K174" s="11" t="str">
        <f aca="false">IF(OR(J174="",J174=0),"",_xlfn.MAXIFS($E$2:$E$500,$B$2:$B$500,B174,$C$2:$C$500,C174,$F$2:$F$500,F174,$H$2:$H$500,"Trade estimate"))</f>
        <v/>
      </c>
      <c r="L174" s="11" t="str">
        <f aca="false">IF(OR(J174="",J174=0),"",_xlfn.MINIFS($E$2:$E$500,$B$2:$B$500,B174,$C$2:$C$500,C174,$F$2:$F$500,F174,$H$2:$H$500,"Trade estimate"))</f>
        <v/>
      </c>
      <c r="M174" s="12" t="str">
        <f aca="false">IF(OR(J174="",J174&lt;2),"",IF(L174=0,"",(K174-L174)/L174))</f>
        <v/>
      </c>
      <c r="N174" s="13" t="str">
        <f aca="false">IF(B174="","",IF(J174&lt;2,"Needs 2+ trade sources",IF(M174&gt;Lists!$E$2,"CHECK","OK")))</f>
        <v/>
      </c>
      <c r="O174" s="9" t="str">
        <f aca="false">IF(B174="","",IF(J174&lt;2,"Needs 2+ trade sources",IF(M174&lt;=Lists!$E$6,"Good",IF(M174&lt;=Lists!$E$2,"Moderate","Bad"))))</f>
        <v/>
      </c>
    </row>
    <row r="175" customFormat="false" ht="14.25" hidden="false" customHeight="true" outlineLevel="0" collapsed="false">
      <c r="A175" s="6"/>
      <c r="B175" s="7"/>
      <c r="C175" s="8"/>
      <c r="D175" s="9" t="str">
        <f aca="false">IF(OR(B175="",C175=""),"",IFERROR(C175-INDEX(Films!$C$2:$C$100,MATCH(B175,Films!$A$2:$A$100,0))+1,""))</f>
        <v/>
      </c>
      <c r="E175" s="10"/>
      <c r="F175" s="7"/>
      <c r="G175" s="7"/>
      <c r="H175" s="7"/>
      <c r="I175" s="7"/>
      <c r="J175" s="9" t="str">
        <f aca="false">IF(B175="","",COUNTIFS($B$2:$B$500,B175,$C$2:$C$500,C175,$F$2:$F$500,F175,$H$2:$H$500,"Trade estimate"))</f>
        <v/>
      </c>
      <c r="K175" s="11" t="str">
        <f aca="false">IF(OR(J175="",J175=0),"",_xlfn.MAXIFS($E$2:$E$500,$B$2:$B$500,B175,$C$2:$C$500,C175,$F$2:$F$500,F175,$H$2:$H$500,"Trade estimate"))</f>
        <v/>
      </c>
      <c r="L175" s="11" t="str">
        <f aca="false">IF(OR(J175="",J175=0),"",_xlfn.MINIFS($E$2:$E$500,$B$2:$B$500,B175,$C$2:$C$500,C175,$F$2:$F$500,F175,$H$2:$H$500,"Trade estimate"))</f>
        <v/>
      </c>
      <c r="M175" s="12" t="str">
        <f aca="false">IF(OR(J175="",J175&lt;2),"",IF(L175=0,"",(K175-L175)/L175))</f>
        <v/>
      </c>
      <c r="N175" s="13" t="str">
        <f aca="false">IF(B175="","",IF(J175&lt;2,"Needs 2+ trade sources",IF(M175&gt;Lists!$E$2,"CHECK","OK")))</f>
        <v/>
      </c>
      <c r="O175" s="9" t="str">
        <f aca="false">IF(B175="","",IF(J175&lt;2,"Needs 2+ trade sources",IF(M175&lt;=Lists!$E$6,"Good",IF(M175&lt;=Lists!$E$2,"Moderate","Bad"))))</f>
        <v/>
      </c>
    </row>
    <row r="176" customFormat="false" ht="14.25" hidden="false" customHeight="true" outlineLevel="0" collapsed="false">
      <c r="A176" s="6"/>
      <c r="B176" s="7"/>
      <c r="C176" s="8"/>
      <c r="D176" s="9" t="str">
        <f aca="false">IF(OR(B176="",C176=""),"",IFERROR(C176-INDEX(Films!$C$2:$C$100,MATCH(B176,Films!$A$2:$A$100,0))+1,""))</f>
        <v/>
      </c>
      <c r="E176" s="10"/>
      <c r="F176" s="7"/>
      <c r="G176" s="7"/>
      <c r="H176" s="7"/>
      <c r="I176" s="7"/>
      <c r="J176" s="9" t="str">
        <f aca="false">IF(B176="","",COUNTIFS($B$2:$B$500,B176,$C$2:$C$500,C176,$F$2:$F$500,F176,$H$2:$H$500,"Trade estimate"))</f>
        <v/>
      </c>
      <c r="K176" s="11" t="str">
        <f aca="false">IF(OR(J176="",J176=0),"",_xlfn.MAXIFS($E$2:$E$500,$B$2:$B$500,B176,$C$2:$C$500,C176,$F$2:$F$500,F176,$H$2:$H$500,"Trade estimate"))</f>
        <v/>
      </c>
      <c r="L176" s="11" t="str">
        <f aca="false">IF(OR(J176="",J176=0),"",_xlfn.MINIFS($E$2:$E$500,$B$2:$B$500,B176,$C$2:$C$500,C176,$F$2:$F$500,F176,$H$2:$H$500,"Trade estimate"))</f>
        <v/>
      </c>
      <c r="M176" s="12" t="str">
        <f aca="false">IF(OR(J176="",J176&lt;2),"",IF(L176=0,"",(K176-L176)/L176))</f>
        <v/>
      </c>
      <c r="N176" s="13" t="str">
        <f aca="false">IF(B176="","",IF(J176&lt;2,"Needs 2+ trade sources",IF(M176&gt;Lists!$E$2,"CHECK","OK")))</f>
        <v/>
      </c>
      <c r="O176" s="9" t="str">
        <f aca="false">IF(B176="","",IF(J176&lt;2,"Needs 2+ trade sources",IF(M176&lt;=Lists!$E$6,"Good",IF(M176&lt;=Lists!$E$2,"Moderate","Bad"))))</f>
        <v/>
      </c>
    </row>
    <row r="177" customFormat="false" ht="14.25" hidden="false" customHeight="true" outlineLevel="0" collapsed="false">
      <c r="A177" s="6"/>
      <c r="B177" s="7"/>
      <c r="C177" s="8"/>
      <c r="D177" s="9" t="str">
        <f aca="false">IF(OR(B177="",C177=""),"",IFERROR(C177-INDEX(Films!$C$2:$C$100,MATCH(B177,Films!$A$2:$A$100,0))+1,""))</f>
        <v/>
      </c>
      <c r="E177" s="10"/>
      <c r="F177" s="7"/>
      <c r="G177" s="7"/>
      <c r="H177" s="7"/>
      <c r="I177" s="7"/>
      <c r="J177" s="9" t="str">
        <f aca="false">IF(B177="","",COUNTIFS($B$2:$B$500,B177,$C$2:$C$500,C177,$F$2:$F$500,F177,$H$2:$H$500,"Trade estimate"))</f>
        <v/>
      </c>
      <c r="K177" s="11" t="str">
        <f aca="false">IF(OR(J177="",J177=0),"",_xlfn.MAXIFS($E$2:$E$500,$B$2:$B$500,B177,$C$2:$C$500,C177,$F$2:$F$500,F177,$H$2:$H$500,"Trade estimate"))</f>
        <v/>
      </c>
      <c r="L177" s="11" t="str">
        <f aca="false">IF(OR(J177="",J177=0),"",_xlfn.MINIFS($E$2:$E$500,$B$2:$B$500,B177,$C$2:$C$500,C177,$F$2:$F$500,F177,$H$2:$H$500,"Trade estimate"))</f>
        <v/>
      </c>
      <c r="M177" s="12" t="str">
        <f aca="false">IF(OR(J177="",J177&lt;2),"",IF(L177=0,"",(K177-L177)/L177))</f>
        <v/>
      </c>
      <c r="N177" s="13" t="str">
        <f aca="false">IF(B177="","",IF(J177&lt;2,"Needs 2+ trade sources",IF(M177&gt;Lists!$E$2,"CHECK","OK")))</f>
        <v/>
      </c>
      <c r="O177" s="9" t="str">
        <f aca="false">IF(B177="","",IF(J177&lt;2,"Needs 2+ trade sources",IF(M177&lt;=Lists!$E$6,"Good",IF(M177&lt;=Lists!$E$2,"Moderate","Bad"))))</f>
        <v/>
      </c>
    </row>
    <row r="178" customFormat="false" ht="14.25" hidden="false" customHeight="true" outlineLevel="0" collapsed="false">
      <c r="A178" s="6"/>
      <c r="B178" s="7"/>
      <c r="C178" s="8"/>
      <c r="D178" s="9" t="str">
        <f aca="false">IF(OR(B178="",C178=""),"",IFERROR(C178-INDEX(Films!$C$2:$C$100,MATCH(B178,Films!$A$2:$A$100,0))+1,""))</f>
        <v/>
      </c>
      <c r="E178" s="10"/>
      <c r="F178" s="7"/>
      <c r="G178" s="7"/>
      <c r="H178" s="7"/>
      <c r="I178" s="7"/>
      <c r="J178" s="9" t="str">
        <f aca="false">IF(B178="","",COUNTIFS($B$2:$B$500,B178,$C$2:$C$500,C178,$F$2:$F$500,F178,$H$2:$H$500,"Trade estimate"))</f>
        <v/>
      </c>
      <c r="K178" s="11" t="str">
        <f aca="false">IF(OR(J178="",J178=0),"",_xlfn.MAXIFS($E$2:$E$500,$B$2:$B$500,B178,$C$2:$C$500,C178,$F$2:$F$500,F178,$H$2:$H$500,"Trade estimate"))</f>
        <v/>
      </c>
      <c r="L178" s="11" t="str">
        <f aca="false">IF(OR(J178="",J178=0),"",_xlfn.MINIFS($E$2:$E$500,$B$2:$B$500,B178,$C$2:$C$500,C178,$F$2:$F$500,F178,$H$2:$H$500,"Trade estimate"))</f>
        <v/>
      </c>
      <c r="M178" s="12" t="str">
        <f aca="false">IF(OR(J178="",J178&lt;2),"",IF(L178=0,"",(K178-L178)/L178))</f>
        <v/>
      </c>
      <c r="N178" s="13" t="str">
        <f aca="false">IF(B178="","",IF(J178&lt;2,"Needs 2+ trade sources",IF(M178&gt;Lists!$E$2,"CHECK","OK")))</f>
        <v/>
      </c>
      <c r="O178" s="9" t="str">
        <f aca="false">IF(B178="","",IF(J178&lt;2,"Needs 2+ trade sources",IF(M178&lt;=Lists!$E$6,"Good",IF(M178&lt;=Lists!$E$2,"Moderate","Bad"))))</f>
        <v/>
      </c>
    </row>
    <row r="179" customFormat="false" ht="14.25" hidden="false" customHeight="true" outlineLevel="0" collapsed="false">
      <c r="A179" s="6"/>
      <c r="B179" s="7"/>
      <c r="C179" s="8"/>
      <c r="D179" s="9" t="str">
        <f aca="false">IF(OR(B179="",C179=""),"",IFERROR(C179-INDEX(Films!$C$2:$C$100,MATCH(B179,Films!$A$2:$A$100,0))+1,""))</f>
        <v/>
      </c>
      <c r="E179" s="10"/>
      <c r="F179" s="7"/>
      <c r="G179" s="7"/>
      <c r="H179" s="7"/>
      <c r="I179" s="7"/>
      <c r="J179" s="9" t="str">
        <f aca="false">IF(B179="","",COUNTIFS($B$2:$B$500,B179,$C$2:$C$500,C179,$F$2:$F$500,F179,$H$2:$H$500,"Trade estimate"))</f>
        <v/>
      </c>
      <c r="K179" s="11" t="str">
        <f aca="false">IF(OR(J179="",J179=0),"",_xlfn.MAXIFS($E$2:$E$500,$B$2:$B$500,B179,$C$2:$C$500,C179,$F$2:$F$500,F179,$H$2:$H$500,"Trade estimate"))</f>
        <v/>
      </c>
      <c r="L179" s="11" t="str">
        <f aca="false">IF(OR(J179="",J179=0),"",_xlfn.MINIFS($E$2:$E$500,$B$2:$B$500,B179,$C$2:$C$500,C179,$F$2:$F$500,F179,$H$2:$H$500,"Trade estimate"))</f>
        <v/>
      </c>
      <c r="M179" s="12" t="str">
        <f aca="false">IF(OR(J179="",J179&lt;2),"",IF(L179=0,"",(K179-L179)/L179))</f>
        <v/>
      </c>
      <c r="N179" s="13" t="str">
        <f aca="false">IF(B179="","",IF(J179&lt;2,"Needs 2+ trade sources",IF(M179&gt;Lists!$E$2,"CHECK","OK")))</f>
        <v/>
      </c>
      <c r="O179" s="9" t="str">
        <f aca="false">IF(B179="","",IF(J179&lt;2,"Needs 2+ trade sources",IF(M179&lt;=Lists!$E$6,"Good",IF(M179&lt;=Lists!$E$2,"Moderate","Bad"))))</f>
        <v/>
      </c>
    </row>
    <row r="180" customFormat="false" ht="14.25" hidden="false" customHeight="true" outlineLevel="0" collapsed="false">
      <c r="A180" s="6"/>
      <c r="B180" s="7"/>
      <c r="C180" s="8"/>
      <c r="D180" s="9" t="str">
        <f aca="false">IF(OR(B180="",C180=""),"",IFERROR(C180-INDEX(Films!$C$2:$C$100,MATCH(B180,Films!$A$2:$A$100,0))+1,""))</f>
        <v/>
      </c>
      <c r="E180" s="10"/>
      <c r="F180" s="7"/>
      <c r="G180" s="7"/>
      <c r="H180" s="7"/>
      <c r="I180" s="7"/>
      <c r="J180" s="9" t="str">
        <f aca="false">IF(B180="","",COUNTIFS($B$2:$B$500,B180,$C$2:$C$500,C180,$F$2:$F$500,F180,$H$2:$H$500,"Trade estimate"))</f>
        <v/>
      </c>
      <c r="K180" s="11" t="str">
        <f aca="false">IF(OR(J180="",J180=0),"",_xlfn.MAXIFS($E$2:$E$500,$B$2:$B$500,B180,$C$2:$C$500,C180,$F$2:$F$500,F180,$H$2:$H$500,"Trade estimate"))</f>
        <v/>
      </c>
      <c r="L180" s="11" t="str">
        <f aca="false">IF(OR(J180="",J180=0),"",_xlfn.MINIFS($E$2:$E$500,$B$2:$B$500,B180,$C$2:$C$500,C180,$F$2:$F$500,F180,$H$2:$H$500,"Trade estimate"))</f>
        <v/>
      </c>
      <c r="M180" s="12" t="str">
        <f aca="false">IF(OR(J180="",J180&lt;2),"",IF(L180=0,"",(K180-L180)/L180))</f>
        <v/>
      </c>
      <c r="N180" s="13" t="str">
        <f aca="false">IF(B180="","",IF(J180&lt;2,"Needs 2+ trade sources",IF(M180&gt;Lists!$E$2,"CHECK","OK")))</f>
        <v/>
      </c>
      <c r="O180" s="9" t="str">
        <f aca="false">IF(B180="","",IF(J180&lt;2,"Needs 2+ trade sources",IF(M180&lt;=Lists!$E$6,"Good",IF(M180&lt;=Lists!$E$2,"Moderate","Bad"))))</f>
        <v/>
      </c>
    </row>
    <row r="181" customFormat="false" ht="14.25" hidden="false" customHeight="true" outlineLevel="0" collapsed="false">
      <c r="A181" s="6"/>
      <c r="B181" s="7"/>
      <c r="C181" s="8"/>
      <c r="D181" s="9" t="str">
        <f aca="false">IF(OR(B181="",C181=""),"",IFERROR(C181-INDEX(Films!$C$2:$C$100,MATCH(B181,Films!$A$2:$A$100,0))+1,""))</f>
        <v/>
      </c>
      <c r="E181" s="10"/>
      <c r="F181" s="7"/>
      <c r="G181" s="7"/>
      <c r="H181" s="7"/>
      <c r="I181" s="7"/>
      <c r="J181" s="9" t="str">
        <f aca="false">IF(B181="","",COUNTIFS($B$2:$B$500,B181,$C$2:$C$500,C181,$F$2:$F$500,F181,$H$2:$H$500,"Trade estimate"))</f>
        <v/>
      </c>
      <c r="K181" s="11" t="str">
        <f aca="false">IF(OR(J181="",J181=0),"",_xlfn.MAXIFS($E$2:$E$500,$B$2:$B$500,B181,$C$2:$C$500,C181,$F$2:$F$500,F181,$H$2:$H$500,"Trade estimate"))</f>
        <v/>
      </c>
      <c r="L181" s="11" t="str">
        <f aca="false">IF(OR(J181="",J181=0),"",_xlfn.MINIFS($E$2:$E$500,$B$2:$B$500,B181,$C$2:$C$500,C181,$F$2:$F$500,F181,$H$2:$H$500,"Trade estimate"))</f>
        <v/>
      </c>
      <c r="M181" s="12" t="str">
        <f aca="false">IF(OR(J181="",J181&lt;2),"",IF(L181=0,"",(K181-L181)/L181))</f>
        <v/>
      </c>
      <c r="N181" s="13" t="str">
        <f aca="false">IF(B181="","",IF(J181&lt;2,"Needs 2+ trade sources",IF(M181&gt;Lists!$E$2,"CHECK","OK")))</f>
        <v/>
      </c>
      <c r="O181" s="9" t="str">
        <f aca="false">IF(B181="","",IF(J181&lt;2,"Needs 2+ trade sources",IF(M181&lt;=Lists!$E$6,"Good",IF(M181&lt;=Lists!$E$2,"Moderate","Bad"))))</f>
        <v/>
      </c>
    </row>
    <row r="182" customFormat="false" ht="14.25" hidden="false" customHeight="true" outlineLevel="0" collapsed="false">
      <c r="A182" s="6"/>
      <c r="B182" s="7"/>
      <c r="C182" s="8"/>
      <c r="D182" s="9" t="str">
        <f aca="false">IF(OR(B182="",C182=""),"",IFERROR(C182-INDEX(Films!$C$2:$C$100,MATCH(B182,Films!$A$2:$A$100,0))+1,""))</f>
        <v/>
      </c>
      <c r="E182" s="10"/>
      <c r="F182" s="7"/>
      <c r="G182" s="7"/>
      <c r="H182" s="7"/>
      <c r="I182" s="7"/>
      <c r="J182" s="9" t="str">
        <f aca="false">IF(B182="","",COUNTIFS($B$2:$B$500,B182,$C$2:$C$500,C182,$F$2:$F$500,F182,$H$2:$H$500,"Trade estimate"))</f>
        <v/>
      </c>
      <c r="K182" s="11" t="str">
        <f aca="false">IF(OR(J182="",J182=0),"",_xlfn.MAXIFS($E$2:$E$500,$B$2:$B$500,B182,$C$2:$C$500,C182,$F$2:$F$500,F182,$H$2:$H$500,"Trade estimate"))</f>
        <v/>
      </c>
      <c r="L182" s="11" t="str">
        <f aca="false">IF(OR(J182="",J182=0),"",_xlfn.MINIFS($E$2:$E$500,$B$2:$B$500,B182,$C$2:$C$500,C182,$F$2:$F$500,F182,$H$2:$H$500,"Trade estimate"))</f>
        <v/>
      </c>
      <c r="M182" s="12" t="str">
        <f aca="false">IF(OR(J182="",J182&lt;2),"",IF(L182=0,"",(K182-L182)/L182))</f>
        <v/>
      </c>
      <c r="N182" s="13" t="str">
        <f aca="false">IF(B182="","",IF(J182&lt;2,"Needs 2+ trade sources",IF(M182&gt;Lists!$E$2,"CHECK","OK")))</f>
        <v/>
      </c>
      <c r="O182" s="9" t="str">
        <f aca="false">IF(B182="","",IF(J182&lt;2,"Needs 2+ trade sources",IF(M182&lt;=Lists!$E$6,"Good",IF(M182&lt;=Lists!$E$2,"Moderate","Bad"))))</f>
        <v/>
      </c>
    </row>
    <row r="183" customFormat="false" ht="14.25" hidden="false" customHeight="true" outlineLevel="0" collapsed="false">
      <c r="A183" s="6"/>
      <c r="B183" s="7"/>
      <c r="C183" s="8"/>
      <c r="D183" s="9" t="str">
        <f aca="false">IF(OR(B183="",C183=""),"",IFERROR(C183-INDEX(Films!$C$2:$C$100,MATCH(B183,Films!$A$2:$A$100,0))+1,""))</f>
        <v/>
      </c>
      <c r="E183" s="10"/>
      <c r="F183" s="7"/>
      <c r="G183" s="7"/>
      <c r="H183" s="7"/>
      <c r="I183" s="7"/>
      <c r="J183" s="9" t="str">
        <f aca="false">IF(B183="","",COUNTIFS($B$2:$B$500,B183,$C$2:$C$500,C183,$F$2:$F$500,F183,$H$2:$H$500,"Trade estimate"))</f>
        <v/>
      </c>
      <c r="K183" s="11" t="str">
        <f aca="false">IF(OR(J183="",J183=0),"",_xlfn.MAXIFS($E$2:$E$500,$B$2:$B$500,B183,$C$2:$C$500,C183,$F$2:$F$500,F183,$H$2:$H$500,"Trade estimate"))</f>
        <v/>
      </c>
      <c r="L183" s="11" t="str">
        <f aca="false">IF(OR(J183="",J183=0),"",_xlfn.MINIFS($E$2:$E$500,$B$2:$B$500,B183,$C$2:$C$500,C183,$F$2:$F$500,F183,$H$2:$H$500,"Trade estimate"))</f>
        <v/>
      </c>
      <c r="M183" s="12" t="str">
        <f aca="false">IF(OR(J183="",J183&lt;2),"",IF(L183=0,"",(K183-L183)/L183))</f>
        <v/>
      </c>
      <c r="N183" s="13" t="str">
        <f aca="false">IF(B183="","",IF(J183&lt;2,"Needs 2+ trade sources",IF(M183&gt;Lists!$E$2,"CHECK","OK")))</f>
        <v/>
      </c>
      <c r="O183" s="9" t="str">
        <f aca="false">IF(B183="","",IF(J183&lt;2,"Needs 2+ trade sources",IF(M183&lt;=Lists!$E$6,"Good",IF(M183&lt;=Lists!$E$2,"Moderate","Bad"))))</f>
        <v/>
      </c>
    </row>
    <row r="184" customFormat="false" ht="14.25" hidden="false" customHeight="true" outlineLevel="0" collapsed="false">
      <c r="A184" s="6"/>
      <c r="B184" s="7"/>
      <c r="C184" s="8"/>
      <c r="D184" s="9" t="str">
        <f aca="false">IF(OR(B184="",C184=""),"",IFERROR(C184-INDEX(Films!$C$2:$C$100,MATCH(B184,Films!$A$2:$A$100,0))+1,""))</f>
        <v/>
      </c>
      <c r="E184" s="10"/>
      <c r="F184" s="7"/>
      <c r="G184" s="7"/>
      <c r="H184" s="7"/>
      <c r="I184" s="7"/>
      <c r="J184" s="9" t="str">
        <f aca="false">IF(B184="","",COUNTIFS($B$2:$B$500,B184,$C$2:$C$500,C184,$F$2:$F$500,F184,$H$2:$H$500,"Trade estimate"))</f>
        <v/>
      </c>
      <c r="K184" s="11" t="str">
        <f aca="false">IF(OR(J184="",J184=0),"",_xlfn.MAXIFS($E$2:$E$500,$B$2:$B$500,B184,$C$2:$C$500,C184,$F$2:$F$500,F184,$H$2:$H$500,"Trade estimate"))</f>
        <v/>
      </c>
      <c r="L184" s="11" t="str">
        <f aca="false">IF(OR(J184="",J184=0),"",_xlfn.MINIFS($E$2:$E$500,$B$2:$B$500,B184,$C$2:$C$500,C184,$F$2:$F$500,F184,$H$2:$H$500,"Trade estimate"))</f>
        <v/>
      </c>
      <c r="M184" s="12" t="str">
        <f aca="false">IF(OR(J184="",J184&lt;2),"",IF(L184=0,"",(K184-L184)/L184))</f>
        <v/>
      </c>
      <c r="N184" s="13" t="str">
        <f aca="false">IF(B184="","",IF(J184&lt;2,"Needs 2+ trade sources",IF(M184&gt;Lists!$E$2,"CHECK","OK")))</f>
        <v/>
      </c>
      <c r="O184" s="9" t="str">
        <f aca="false">IF(B184="","",IF(J184&lt;2,"Needs 2+ trade sources",IF(M184&lt;=Lists!$E$6,"Good",IF(M184&lt;=Lists!$E$2,"Moderate","Bad"))))</f>
        <v/>
      </c>
    </row>
    <row r="185" customFormat="false" ht="14.25" hidden="false" customHeight="true" outlineLevel="0" collapsed="false">
      <c r="A185" s="6"/>
      <c r="B185" s="7"/>
      <c r="C185" s="8"/>
      <c r="D185" s="9" t="str">
        <f aca="false">IF(OR(B185="",C185=""),"",IFERROR(C185-INDEX(Films!$C$2:$C$100,MATCH(B185,Films!$A$2:$A$100,0))+1,""))</f>
        <v/>
      </c>
      <c r="E185" s="10"/>
      <c r="F185" s="7"/>
      <c r="G185" s="7"/>
      <c r="H185" s="7"/>
      <c r="I185" s="7"/>
      <c r="J185" s="9" t="str">
        <f aca="false">IF(B185="","",COUNTIFS($B$2:$B$500,B185,$C$2:$C$500,C185,$F$2:$F$500,F185,$H$2:$H$500,"Trade estimate"))</f>
        <v/>
      </c>
      <c r="K185" s="11" t="str">
        <f aca="false">IF(OR(J185="",J185=0),"",_xlfn.MAXIFS($E$2:$E$500,$B$2:$B$500,B185,$C$2:$C$500,C185,$F$2:$F$500,F185,$H$2:$H$500,"Trade estimate"))</f>
        <v/>
      </c>
      <c r="L185" s="11" t="str">
        <f aca="false">IF(OR(J185="",J185=0),"",_xlfn.MINIFS($E$2:$E$500,$B$2:$B$500,B185,$C$2:$C$500,C185,$F$2:$F$500,F185,$H$2:$H$500,"Trade estimate"))</f>
        <v/>
      </c>
      <c r="M185" s="12" t="str">
        <f aca="false">IF(OR(J185="",J185&lt;2),"",IF(L185=0,"",(K185-L185)/L185))</f>
        <v/>
      </c>
      <c r="N185" s="13" t="str">
        <f aca="false">IF(B185="","",IF(J185&lt;2,"Needs 2+ trade sources",IF(M185&gt;Lists!$E$2,"CHECK","OK")))</f>
        <v/>
      </c>
      <c r="O185" s="9" t="str">
        <f aca="false">IF(B185="","",IF(J185&lt;2,"Needs 2+ trade sources",IF(M185&lt;=Lists!$E$6,"Good",IF(M185&lt;=Lists!$E$2,"Moderate","Bad"))))</f>
        <v/>
      </c>
    </row>
    <row r="186" customFormat="false" ht="14.25" hidden="false" customHeight="true" outlineLevel="0" collapsed="false">
      <c r="A186" s="6"/>
      <c r="B186" s="7"/>
      <c r="C186" s="8"/>
      <c r="D186" s="9" t="str">
        <f aca="false">IF(OR(B186="",C186=""),"",IFERROR(C186-INDEX(Films!$C$2:$C$100,MATCH(B186,Films!$A$2:$A$100,0))+1,""))</f>
        <v/>
      </c>
      <c r="E186" s="10"/>
      <c r="F186" s="7"/>
      <c r="G186" s="7"/>
      <c r="H186" s="7"/>
      <c r="I186" s="7"/>
      <c r="J186" s="9" t="str">
        <f aca="false">IF(B186="","",COUNTIFS($B$2:$B$500,B186,$C$2:$C$500,C186,$F$2:$F$500,F186,$H$2:$H$500,"Trade estimate"))</f>
        <v/>
      </c>
      <c r="K186" s="11" t="str">
        <f aca="false">IF(OR(J186="",J186=0),"",_xlfn.MAXIFS($E$2:$E$500,$B$2:$B$500,B186,$C$2:$C$500,C186,$F$2:$F$500,F186,$H$2:$H$500,"Trade estimate"))</f>
        <v/>
      </c>
      <c r="L186" s="11" t="str">
        <f aca="false">IF(OR(J186="",J186=0),"",_xlfn.MINIFS($E$2:$E$500,$B$2:$B$500,B186,$C$2:$C$500,C186,$F$2:$F$500,F186,$H$2:$H$500,"Trade estimate"))</f>
        <v/>
      </c>
      <c r="M186" s="12" t="str">
        <f aca="false">IF(OR(J186="",J186&lt;2),"",IF(L186=0,"",(K186-L186)/L186))</f>
        <v/>
      </c>
      <c r="N186" s="13" t="str">
        <f aca="false">IF(B186="","",IF(J186&lt;2,"Needs 2+ trade sources",IF(M186&gt;Lists!$E$2,"CHECK","OK")))</f>
        <v/>
      </c>
      <c r="O186" s="9" t="str">
        <f aca="false">IF(B186="","",IF(J186&lt;2,"Needs 2+ trade sources",IF(M186&lt;=Lists!$E$6,"Good",IF(M186&lt;=Lists!$E$2,"Moderate","Bad"))))</f>
        <v/>
      </c>
    </row>
    <row r="187" customFormat="false" ht="14.25" hidden="false" customHeight="true" outlineLevel="0" collapsed="false">
      <c r="A187" s="6"/>
      <c r="B187" s="7"/>
      <c r="C187" s="8"/>
      <c r="D187" s="9" t="str">
        <f aca="false">IF(OR(B187="",C187=""),"",IFERROR(C187-INDEX(Films!$C$2:$C$100,MATCH(B187,Films!$A$2:$A$100,0))+1,""))</f>
        <v/>
      </c>
      <c r="E187" s="10"/>
      <c r="F187" s="7"/>
      <c r="G187" s="7"/>
      <c r="H187" s="7"/>
      <c r="I187" s="7"/>
      <c r="J187" s="9" t="str">
        <f aca="false">IF(B187="","",COUNTIFS($B$2:$B$500,B187,$C$2:$C$500,C187,$F$2:$F$500,F187,$H$2:$H$500,"Trade estimate"))</f>
        <v/>
      </c>
      <c r="K187" s="11" t="str">
        <f aca="false">IF(OR(J187="",J187=0),"",_xlfn.MAXIFS($E$2:$E$500,$B$2:$B$500,B187,$C$2:$C$500,C187,$F$2:$F$500,F187,$H$2:$H$500,"Trade estimate"))</f>
        <v/>
      </c>
      <c r="L187" s="11" t="str">
        <f aca="false">IF(OR(J187="",J187=0),"",_xlfn.MINIFS($E$2:$E$500,$B$2:$B$500,B187,$C$2:$C$500,C187,$F$2:$F$500,F187,$H$2:$H$500,"Trade estimate"))</f>
        <v/>
      </c>
      <c r="M187" s="12" t="str">
        <f aca="false">IF(OR(J187="",J187&lt;2),"",IF(L187=0,"",(K187-L187)/L187))</f>
        <v/>
      </c>
      <c r="N187" s="13" t="str">
        <f aca="false">IF(B187="","",IF(J187&lt;2,"Needs 2+ trade sources",IF(M187&gt;Lists!$E$2,"CHECK","OK")))</f>
        <v/>
      </c>
      <c r="O187" s="9" t="str">
        <f aca="false">IF(B187="","",IF(J187&lt;2,"Needs 2+ trade sources",IF(M187&lt;=Lists!$E$6,"Good",IF(M187&lt;=Lists!$E$2,"Moderate","Bad"))))</f>
        <v/>
      </c>
    </row>
    <row r="188" customFormat="false" ht="14.25" hidden="false" customHeight="true" outlineLevel="0" collapsed="false">
      <c r="A188" s="6"/>
      <c r="B188" s="7"/>
      <c r="C188" s="8"/>
      <c r="D188" s="9" t="str">
        <f aca="false">IF(OR(B188="",C188=""),"",IFERROR(C188-INDEX(Films!$C$2:$C$100,MATCH(B188,Films!$A$2:$A$100,0))+1,""))</f>
        <v/>
      </c>
      <c r="E188" s="10"/>
      <c r="F188" s="7"/>
      <c r="G188" s="7"/>
      <c r="H188" s="7"/>
      <c r="I188" s="7"/>
      <c r="J188" s="9" t="str">
        <f aca="false">IF(B188="","",COUNTIFS($B$2:$B$500,B188,$C$2:$C$500,C188,$F$2:$F$500,F188,$H$2:$H$500,"Trade estimate"))</f>
        <v/>
      </c>
      <c r="K188" s="11" t="str">
        <f aca="false">IF(OR(J188="",J188=0),"",_xlfn.MAXIFS($E$2:$E$500,$B$2:$B$500,B188,$C$2:$C$500,C188,$F$2:$F$500,F188,$H$2:$H$500,"Trade estimate"))</f>
        <v/>
      </c>
      <c r="L188" s="11" t="str">
        <f aca="false">IF(OR(J188="",J188=0),"",_xlfn.MINIFS($E$2:$E$500,$B$2:$B$500,B188,$C$2:$C$500,C188,$F$2:$F$500,F188,$H$2:$H$500,"Trade estimate"))</f>
        <v/>
      </c>
      <c r="M188" s="12" t="str">
        <f aca="false">IF(OR(J188="",J188&lt;2),"",IF(L188=0,"",(K188-L188)/L188))</f>
        <v/>
      </c>
      <c r="N188" s="13" t="str">
        <f aca="false">IF(B188="","",IF(J188&lt;2,"Needs 2+ trade sources",IF(M188&gt;Lists!$E$2,"CHECK","OK")))</f>
        <v/>
      </c>
      <c r="O188" s="9" t="str">
        <f aca="false">IF(B188="","",IF(J188&lt;2,"Needs 2+ trade sources",IF(M188&lt;=Lists!$E$6,"Good",IF(M188&lt;=Lists!$E$2,"Moderate","Bad"))))</f>
        <v/>
      </c>
    </row>
    <row r="189" customFormat="false" ht="14.25" hidden="false" customHeight="true" outlineLevel="0" collapsed="false">
      <c r="A189" s="6"/>
      <c r="B189" s="7"/>
      <c r="C189" s="8"/>
      <c r="D189" s="9" t="str">
        <f aca="false">IF(OR(B189="",C189=""),"",IFERROR(C189-INDEX(Films!$C$2:$C$100,MATCH(B189,Films!$A$2:$A$100,0))+1,""))</f>
        <v/>
      </c>
      <c r="E189" s="10"/>
      <c r="F189" s="7"/>
      <c r="G189" s="7"/>
      <c r="H189" s="7"/>
      <c r="I189" s="7"/>
      <c r="J189" s="9" t="str">
        <f aca="false">IF(B189="","",COUNTIFS($B$2:$B$500,B189,$C$2:$C$500,C189,$F$2:$F$500,F189,$H$2:$H$500,"Trade estimate"))</f>
        <v/>
      </c>
      <c r="K189" s="11" t="str">
        <f aca="false">IF(OR(J189="",J189=0),"",_xlfn.MAXIFS($E$2:$E$500,$B$2:$B$500,B189,$C$2:$C$500,C189,$F$2:$F$500,F189,$H$2:$H$500,"Trade estimate"))</f>
        <v/>
      </c>
      <c r="L189" s="11" t="str">
        <f aca="false">IF(OR(J189="",J189=0),"",_xlfn.MINIFS($E$2:$E$500,$B$2:$B$500,B189,$C$2:$C$500,C189,$F$2:$F$500,F189,$H$2:$H$500,"Trade estimate"))</f>
        <v/>
      </c>
      <c r="M189" s="12" t="str">
        <f aca="false">IF(OR(J189="",J189&lt;2),"",IF(L189=0,"",(K189-L189)/L189))</f>
        <v/>
      </c>
      <c r="N189" s="13" t="str">
        <f aca="false">IF(B189="","",IF(J189&lt;2,"Needs 2+ trade sources",IF(M189&gt;Lists!$E$2,"CHECK","OK")))</f>
        <v/>
      </c>
      <c r="O189" s="9" t="str">
        <f aca="false">IF(B189="","",IF(J189&lt;2,"Needs 2+ trade sources",IF(M189&lt;=Lists!$E$6,"Good",IF(M189&lt;=Lists!$E$2,"Moderate","Bad"))))</f>
        <v/>
      </c>
    </row>
    <row r="190" customFormat="false" ht="14.25" hidden="false" customHeight="true" outlineLevel="0" collapsed="false">
      <c r="A190" s="6"/>
      <c r="B190" s="7"/>
      <c r="C190" s="8"/>
      <c r="D190" s="9" t="str">
        <f aca="false">IF(OR(B190="",C190=""),"",IFERROR(C190-INDEX(Films!$C$2:$C$100,MATCH(B190,Films!$A$2:$A$100,0))+1,""))</f>
        <v/>
      </c>
      <c r="E190" s="10"/>
      <c r="F190" s="7"/>
      <c r="G190" s="7"/>
      <c r="H190" s="7"/>
      <c r="I190" s="7"/>
      <c r="J190" s="9" t="str">
        <f aca="false">IF(B190="","",COUNTIFS($B$2:$B$500,B190,$C$2:$C$500,C190,$F$2:$F$500,F190,$H$2:$H$500,"Trade estimate"))</f>
        <v/>
      </c>
      <c r="K190" s="11" t="str">
        <f aca="false">IF(OR(J190="",J190=0),"",_xlfn.MAXIFS($E$2:$E$500,$B$2:$B$500,B190,$C$2:$C$500,C190,$F$2:$F$500,F190,$H$2:$H$500,"Trade estimate"))</f>
        <v/>
      </c>
      <c r="L190" s="11" t="str">
        <f aca="false">IF(OR(J190="",J190=0),"",_xlfn.MINIFS($E$2:$E$500,$B$2:$B$500,B190,$C$2:$C$500,C190,$F$2:$F$500,F190,$H$2:$H$500,"Trade estimate"))</f>
        <v/>
      </c>
      <c r="M190" s="12" t="str">
        <f aca="false">IF(OR(J190="",J190&lt;2),"",IF(L190=0,"",(K190-L190)/L190))</f>
        <v/>
      </c>
      <c r="N190" s="13" t="str">
        <f aca="false">IF(B190="","",IF(J190&lt;2,"Needs 2+ trade sources",IF(M190&gt;Lists!$E$2,"CHECK","OK")))</f>
        <v/>
      </c>
      <c r="O190" s="9" t="str">
        <f aca="false">IF(B190="","",IF(J190&lt;2,"Needs 2+ trade sources",IF(M190&lt;=Lists!$E$6,"Good",IF(M190&lt;=Lists!$E$2,"Moderate","Bad"))))</f>
        <v/>
      </c>
    </row>
    <row r="191" customFormat="false" ht="14.25" hidden="false" customHeight="true" outlineLevel="0" collapsed="false">
      <c r="A191" s="6"/>
      <c r="B191" s="7"/>
      <c r="C191" s="8"/>
      <c r="D191" s="9" t="str">
        <f aca="false">IF(OR(B191="",C191=""),"",IFERROR(C191-INDEX(Films!$C$2:$C$100,MATCH(B191,Films!$A$2:$A$100,0))+1,""))</f>
        <v/>
      </c>
      <c r="E191" s="10"/>
      <c r="F191" s="7"/>
      <c r="G191" s="7"/>
      <c r="H191" s="7"/>
      <c r="I191" s="7"/>
      <c r="J191" s="9" t="str">
        <f aca="false">IF(B191="","",COUNTIFS($B$2:$B$500,B191,$C$2:$C$500,C191,$F$2:$F$500,F191,$H$2:$H$500,"Trade estimate"))</f>
        <v/>
      </c>
      <c r="K191" s="11" t="str">
        <f aca="false">IF(OR(J191="",J191=0),"",_xlfn.MAXIFS($E$2:$E$500,$B$2:$B$500,B191,$C$2:$C$500,C191,$F$2:$F$500,F191,$H$2:$H$500,"Trade estimate"))</f>
        <v/>
      </c>
      <c r="L191" s="11" t="str">
        <f aca="false">IF(OR(J191="",J191=0),"",_xlfn.MINIFS($E$2:$E$500,$B$2:$B$500,B191,$C$2:$C$500,C191,$F$2:$F$500,F191,$H$2:$H$500,"Trade estimate"))</f>
        <v/>
      </c>
      <c r="M191" s="12" t="str">
        <f aca="false">IF(OR(J191="",J191&lt;2),"",IF(L191=0,"",(K191-L191)/L191))</f>
        <v/>
      </c>
      <c r="N191" s="13" t="str">
        <f aca="false">IF(B191="","",IF(J191&lt;2,"Needs 2+ trade sources",IF(M191&gt;Lists!$E$2,"CHECK","OK")))</f>
        <v/>
      </c>
      <c r="O191" s="9" t="str">
        <f aca="false">IF(B191="","",IF(J191&lt;2,"Needs 2+ trade sources",IF(M191&lt;=Lists!$E$6,"Good",IF(M191&lt;=Lists!$E$2,"Moderate","Bad"))))</f>
        <v/>
      </c>
    </row>
    <row r="192" customFormat="false" ht="14.25" hidden="false" customHeight="true" outlineLevel="0" collapsed="false">
      <c r="A192" s="6"/>
      <c r="B192" s="7"/>
      <c r="C192" s="8"/>
      <c r="D192" s="9" t="str">
        <f aca="false">IF(OR(B192="",C192=""),"",IFERROR(C192-INDEX(Films!$C$2:$C$100,MATCH(B192,Films!$A$2:$A$100,0))+1,""))</f>
        <v/>
      </c>
      <c r="E192" s="10"/>
      <c r="F192" s="7"/>
      <c r="G192" s="7"/>
      <c r="H192" s="7"/>
      <c r="I192" s="7"/>
      <c r="J192" s="9" t="str">
        <f aca="false">IF(B192="","",COUNTIFS($B$2:$B$500,B192,$C$2:$C$500,C192,$F$2:$F$500,F192,$H$2:$H$500,"Trade estimate"))</f>
        <v/>
      </c>
      <c r="K192" s="11" t="str">
        <f aca="false">IF(OR(J192="",J192=0),"",_xlfn.MAXIFS($E$2:$E$500,$B$2:$B$500,B192,$C$2:$C$500,C192,$F$2:$F$500,F192,$H$2:$H$500,"Trade estimate"))</f>
        <v/>
      </c>
      <c r="L192" s="11" t="str">
        <f aca="false">IF(OR(J192="",J192=0),"",_xlfn.MINIFS($E$2:$E$500,$B$2:$B$500,B192,$C$2:$C$500,C192,$F$2:$F$500,F192,$H$2:$H$500,"Trade estimate"))</f>
        <v/>
      </c>
      <c r="M192" s="12" t="str">
        <f aca="false">IF(OR(J192="",J192&lt;2),"",IF(L192=0,"",(K192-L192)/L192))</f>
        <v/>
      </c>
      <c r="N192" s="13" t="str">
        <f aca="false">IF(B192="","",IF(J192&lt;2,"Needs 2+ trade sources",IF(M192&gt;Lists!$E$2,"CHECK","OK")))</f>
        <v/>
      </c>
      <c r="O192" s="9" t="str">
        <f aca="false">IF(B192="","",IF(J192&lt;2,"Needs 2+ trade sources",IF(M192&lt;=Lists!$E$6,"Good",IF(M192&lt;=Lists!$E$2,"Moderate","Bad"))))</f>
        <v/>
      </c>
    </row>
    <row r="193" customFormat="false" ht="14.25" hidden="false" customHeight="true" outlineLevel="0" collapsed="false">
      <c r="A193" s="6"/>
      <c r="B193" s="7"/>
      <c r="C193" s="8"/>
      <c r="D193" s="9" t="str">
        <f aca="false">IF(OR(B193="",C193=""),"",IFERROR(C193-INDEX(Films!$C$2:$C$100,MATCH(B193,Films!$A$2:$A$100,0))+1,""))</f>
        <v/>
      </c>
      <c r="E193" s="10"/>
      <c r="F193" s="7"/>
      <c r="G193" s="7"/>
      <c r="H193" s="7"/>
      <c r="I193" s="7"/>
      <c r="J193" s="9" t="str">
        <f aca="false">IF(B193="","",COUNTIFS($B$2:$B$500,B193,$C$2:$C$500,C193,$F$2:$F$500,F193,$H$2:$H$500,"Trade estimate"))</f>
        <v/>
      </c>
      <c r="K193" s="11" t="str">
        <f aca="false">IF(OR(J193="",J193=0),"",_xlfn.MAXIFS($E$2:$E$500,$B$2:$B$500,B193,$C$2:$C$500,C193,$F$2:$F$500,F193,$H$2:$H$500,"Trade estimate"))</f>
        <v/>
      </c>
      <c r="L193" s="11" t="str">
        <f aca="false">IF(OR(J193="",J193=0),"",_xlfn.MINIFS($E$2:$E$500,$B$2:$B$500,B193,$C$2:$C$500,C193,$F$2:$F$500,F193,$H$2:$H$500,"Trade estimate"))</f>
        <v/>
      </c>
      <c r="M193" s="12" t="str">
        <f aca="false">IF(OR(J193="",J193&lt;2),"",IF(L193=0,"",(K193-L193)/L193))</f>
        <v/>
      </c>
      <c r="N193" s="13" t="str">
        <f aca="false">IF(B193="","",IF(J193&lt;2,"Needs 2+ trade sources",IF(M193&gt;Lists!$E$2,"CHECK","OK")))</f>
        <v/>
      </c>
      <c r="O193" s="9" t="str">
        <f aca="false">IF(B193="","",IF(J193&lt;2,"Needs 2+ trade sources",IF(M193&lt;=Lists!$E$6,"Good",IF(M193&lt;=Lists!$E$2,"Moderate","Bad"))))</f>
        <v/>
      </c>
    </row>
    <row r="194" customFormat="false" ht="14.25" hidden="false" customHeight="true" outlineLevel="0" collapsed="false">
      <c r="A194" s="6"/>
      <c r="B194" s="7"/>
      <c r="C194" s="8"/>
      <c r="D194" s="9" t="str">
        <f aca="false">IF(OR(B194="",C194=""),"",IFERROR(C194-INDEX(Films!$C$2:$C$100,MATCH(B194,Films!$A$2:$A$100,0))+1,""))</f>
        <v/>
      </c>
      <c r="E194" s="10"/>
      <c r="F194" s="7"/>
      <c r="G194" s="7"/>
      <c r="H194" s="7"/>
      <c r="I194" s="7"/>
      <c r="J194" s="9" t="str">
        <f aca="false">IF(B194="","",COUNTIFS($B$2:$B$500,B194,$C$2:$C$500,C194,$F$2:$F$500,F194,$H$2:$H$500,"Trade estimate"))</f>
        <v/>
      </c>
      <c r="K194" s="11" t="str">
        <f aca="false">IF(OR(J194="",J194=0),"",_xlfn.MAXIFS($E$2:$E$500,$B$2:$B$500,B194,$C$2:$C$500,C194,$F$2:$F$500,F194,$H$2:$H$500,"Trade estimate"))</f>
        <v/>
      </c>
      <c r="L194" s="11" t="str">
        <f aca="false">IF(OR(J194="",J194=0),"",_xlfn.MINIFS($E$2:$E$500,$B$2:$B$500,B194,$C$2:$C$500,C194,$F$2:$F$500,F194,$H$2:$H$500,"Trade estimate"))</f>
        <v/>
      </c>
      <c r="M194" s="12" t="str">
        <f aca="false">IF(OR(J194="",J194&lt;2),"",IF(L194=0,"",(K194-L194)/L194))</f>
        <v/>
      </c>
      <c r="N194" s="13" t="str">
        <f aca="false">IF(B194="","",IF(J194&lt;2,"Needs 2+ trade sources",IF(M194&gt;Lists!$E$2,"CHECK","OK")))</f>
        <v/>
      </c>
      <c r="O194" s="9" t="str">
        <f aca="false">IF(B194="","",IF(J194&lt;2,"Needs 2+ trade sources",IF(M194&lt;=Lists!$E$6,"Good",IF(M194&lt;=Lists!$E$2,"Moderate","Bad"))))</f>
        <v/>
      </c>
    </row>
    <row r="195" customFormat="false" ht="14.25" hidden="false" customHeight="true" outlineLevel="0" collapsed="false">
      <c r="A195" s="6"/>
      <c r="B195" s="7"/>
      <c r="C195" s="8"/>
      <c r="D195" s="9" t="str">
        <f aca="false">IF(OR(B195="",C195=""),"",IFERROR(C195-INDEX(Films!$C$2:$C$100,MATCH(B195,Films!$A$2:$A$100,0))+1,""))</f>
        <v/>
      </c>
      <c r="E195" s="10"/>
      <c r="F195" s="7"/>
      <c r="G195" s="7"/>
      <c r="H195" s="7"/>
      <c r="I195" s="7"/>
      <c r="J195" s="9" t="str">
        <f aca="false">IF(B195="","",COUNTIFS($B$2:$B$500,B195,$C$2:$C$500,C195,$F$2:$F$500,F195,$H$2:$H$500,"Trade estimate"))</f>
        <v/>
      </c>
      <c r="K195" s="11" t="str">
        <f aca="false">IF(OR(J195="",J195=0),"",_xlfn.MAXIFS($E$2:$E$500,$B$2:$B$500,B195,$C$2:$C$500,C195,$F$2:$F$500,F195,$H$2:$H$500,"Trade estimate"))</f>
        <v/>
      </c>
      <c r="L195" s="11" t="str">
        <f aca="false">IF(OR(J195="",J195=0),"",_xlfn.MINIFS($E$2:$E$500,$B$2:$B$500,B195,$C$2:$C$500,C195,$F$2:$F$500,F195,$H$2:$H$500,"Trade estimate"))</f>
        <v/>
      </c>
      <c r="M195" s="12" t="str">
        <f aca="false">IF(OR(J195="",J195&lt;2),"",IF(L195=0,"",(K195-L195)/L195))</f>
        <v/>
      </c>
      <c r="N195" s="13" t="str">
        <f aca="false">IF(B195="","",IF(J195&lt;2,"Needs 2+ trade sources",IF(M195&gt;Lists!$E$2,"CHECK","OK")))</f>
        <v/>
      </c>
      <c r="O195" s="9" t="str">
        <f aca="false">IF(B195="","",IF(J195&lt;2,"Needs 2+ trade sources",IF(M195&lt;=Lists!$E$6,"Good",IF(M195&lt;=Lists!$E$2,"Moderate","Bad"))))</f>
        <v/>
      </c>
    </row>
    <row r="196" customFormat="false" ht="14.25" hidden="false" customHeight="true" outlineLevel="0" collapsed="false">
      <c r="A196" s="6"/>
      <c r="B196" s="7"/>
      <c r="C196" s="8"/>
      <c r="D196" s="9" t="str">
        <f aca="false">IF(OR(B196="",C196=""),"",IFERROR(C196-INDEX(Films!$C$2:$C$100,MATCH(B196,Films!$A$2:$A$100,0))+1,""))</f>
        <v/>
      </c>
      <c r="E196" s="10"/>
      <c r="F196" s="7"/>
      <c r="G196" s="7"/>
      <c r="H196" s="7"/>
      <c r="I196" s="7"/>
      <c r="J196" s="9" t="str">
        <f aca="false">IF(B196="","",COUNTIFS($B$2:$B$500,B196,$C$2:$C$500,C196,$F$2:$F$500,F196,$H$2:$H$500,"Trade estimate"))</f>
        <v/>
      </c>
      <c r="K196" s="11" t="str">
        <f aca="false">IF(OR(J196="",J196=0),"",_xlfn.MAXIFS($E$2:$E$500,$B$2:$B$500,B196,$C$2:$C$500,C196,$F$2:$F$500,F196,$H$2:$H$500,"Trade estimate"))</f>
        <v/>
      </c>
      <c r="L196" s="11" t="str">
        <f aca="false">IF(OR(J196="",J196=0),"",_xlfn.MINIFS($E$2:$E$500,$B$2:$B$500,B196,$C$2:$C$500,C196,$F$2:$F$500,F196,$H$2:$H$500,"Trade estimate"))</f>
        <v/>
      </c>
      <c r="M196" s="12" t="str">
        <f aca="false">IF(OR(J196="",J196&lt;2),"",IF(L196=0,"",(K196-L196)/L196))</f>
        <v/>
      </c>
      <c r="N196" s="13" t="str">
        <f aca="false">IF(B196="","",IF(J196&lt;2,"Needs 2+ trade sources",IF(M196&gt;Lists!$E$2,"CHECK","OK")))</f>
        <v/>
      </c>
      <c r="O196" s="9" t="str">
        <f aca="false">IF(B196="","",IF(J196&lt;2,"Needs 2+ trade sources",IF(M196&lt;=Lists!$E$6,"Good",IF(M196&lt;=Lists!$E$2,"Moderate","Bad"))))</f>
        <v/>
      </c>
    </row>
    <row r="197" customFormat="false" ht="14.25" hidden="false" customHeight="true" outlineLevel="0" collapsed="false">
      <c r="A197" s="6"/>
      <c r="B197" s="7"/>
      <c r="C197" s="8"/>
      <c r="D197" s="9" t="str">
        <f aca="false">IF(OR(B197="",C197=""),"",IFERROR(C197-INDEX(Films!$C$2:$C$100,MATCH(B197,Films!$A$2:$A$100,0))+1,""))</f>
        <v/>
      </c>
      <c r="E197" s="10"/>
      <c r="F197" s="7"/>
      <c r="G197" s="7"/>
      <c r="H197" s="7"/>
      <c r="I197" s="7"/>
      <c r="J197" s="9" t="str">
        <f aca="false">IF(B197="","",COUNTIFS($B$2:$B$500,B197,$C$2:$C$500,C197,$F$2:$F$500,F197,$H$2:$H$500,"Trade estimate"))</f>
        <v/>
      </c>
      <c r="K197" s="11" t="str">
        <f aca="false">IF(OR(J197="",J197=0),"",_xlfn.MAXIFS($E$2:$E$500,$B$2:$B$500,B197,$C$2:$C$500,C197,$F$2:$F$500,F197,$H$2:$H$500,"Trade estimate"))</f>
        <v/>
      </c>
      <c r="L197" s="11" t="str">
        <f aca="false">IF(OR(J197="",J197=0),"",_xlfn.MINIFS($E$2:$E$500,$B$2:$B$500,B197,$C$2:$C$500,C197,$F$2:$F$500,F197,$H$2:$H$500,"Trade estimate"))</f>
        <v/>
      </c>
      <c r="M197" s="12" t="str">
        <f aca="false">IF(OR(J197="",J197&lt;2),"",IF(L197=0,"",(K197-L197)/L197))</f>
        <v/>
      </c>
      <c r="N197" s="13" t="str">
        <f aca="false">IF(B197="","",IF(J197&lt;2,"Needs 2+ trade sources",IF(M197&gt;Lists!$E$2,"CHECK","OK")))</f>
        <v/>
      </c>
      <c r="O197" s="9" t="str">
        <f aca="false">IF(B197="","",IF(J197&lt;2,"Needs 2+ trade sources",IF(M197&lt;=Lists!$E$6,"Good",IF(M197&lt;=Lists!$E$2,"Moderate","Bad"))))</f>
        <v/>
      </c>
    </row>
    <row r="198" customFormat="false" ht="14.25" hidden="false" customHeight="true" outlineLevel="0" collapsed="false">
      <c r="A198" s="6"/>
      <c r="B198" s="7"/>
      <c r="C198" s="8"/>
      <c r="D198" s="9" t="str">
        <f aca="false">IF(OR(B198="",C198=""),"",IFERROR(C198-INDEX(Films!$C$2:$C$100,MATCH(B198,Films!$A$2:$A$100,0))+1,""))</f>
        <v/>
      </c>
      <c r="E198" s="10"/>
      <c r="F198" s="7"/>
      <c r="G198" s="7"/>
      <c r="H198" s="7"/>
      <c r="I198" s="7"/>
      <c r="J198" s="9" t="str">
        <f aca="false">IF(B198="","",COUNTIFS($B$2:$B$500,B198,$C$2:$C$500,C198,$F$2:$F$500,F198,$H$2:$H$500,"Trade estimate"))</f>
        <v/>
      </c>
      <c r="K198" s="11" t="str">
        <f aca="false">IF(OR(J198="",J198=0),"",_xlfn.MAXIFS($E$2:$E$500,$B$2:$B$500,B198,$C$2:$C$500,C198,$F$2:$F$500,F198,$H$2:$H$500,"Trade estimate"))</f>
        <v/>
      </c>
      <c r="L198" s="11" t="str">
        <f aca="false">IF(OR(J198="",J198=0),"",_xlfn.MINIFS($E$2:$E$500,$B$2:$B$500,B198,$C$2:$C$500,C198,$F$2:$F$500,F198,$H$2:$H$500,"Trade estimate"))</f>
        <v/>
      </c>
      <c r="M198" s="12" t="str">
        <f aca="false">IF(OR(J198="",J198&lt;2),"",IF(L198=0,"",(K198-L198)/L198))</f>
        <v/>
      </c>
      <c r="N198" s="13" t="str">
        <f aca="false">IF(B198="","",IF(J198&lt;2,"Needs 2+ trade sources",IF(M198&gt;Lists!$E$2,"CHECK","OK")))</f>
        <v/>
      </c>
      <c r="O198" s="9" t="str">
        <f aca="false">IF(B198="","",IF(J198&lt;2,"Needs 2+ trade sources",IF(M198&lt;=Lists!$E$6,"Good",IF(M198&lt;=Lists!$E$2,"Moderate","Bad"))))</f>
        <v/>
      </c>
    </row>
    <row r="199" customFormat="false" ht="14.25" hidden="false" customHeight="true" outlineLevel="0" collapsed="false">
      <c r="A199" s="6"/>
      <c r="B199" s="7"/>
      <c r="C199" s="8"/>
      <c r="D199" s="9" t="str">
        <f aca="false">IF(OR(B199="",C199=""),"",IFERROR(C199-INDEX(Films!$C$2:$C$100,MATCH(B199,Films!$A$2:$A$100,0))+1,""))</f>
        <v/>
      </c>
      <c r="E199" s="10"/>
      <c r="F199" s="7"/>
      <c r="G199" s="7"/>
      <c r="H199" s="7"/>
      <c r="I199" s="7"/>
      <c r="J199" s="9" t="str">
        <f aca="false">IF(B199="","",COUNTIFS($B$2:$B$500,B199,$C$2:$C$500,C199,$F$2:$F$500,F199,$H$2:$H$500,"Trade estimate"))</f>
        <v/>
      </c>
      <c r="K199" s="11" t="str">
        <f aca="false">IF(OR(J199="",J199=0),"",_xlfn.MAXIFS($E$2:$E$500,$B$2:$B$500,B199,$C$2:$C$500,C199,$F$2:$F$500,F199,$H$2:$H$500,"Trade estimate"))</f>
        <v/>
      </c>
      <c r="L199" s="11" t="str">
        <f aca="false">IF(OR(J199="",J199=0),"",_xlfn.MINIFS($E$2:$E$500,$B$2:$B$500,B199,$C$2:$C$500,C199,$F$2:$F$500,F199,$H$2:$H$500,"Trade estimate"))</f>
        <v/>
      </c>
      <c r="M199" s="12" t="str">
        <f aca="false">IF(OR(J199="",J199&lt;2),"",IF(L199=0,"",(K199-L199)/L199))</f>
        <v/>
      </c>
      <c r="N199" s="13" t="str">
        <f aca="false">IF(B199="","",IF(J199&lt;2,"Needs 2+ trade sources",IF(M199&gt;Lists!$E$2,"CHECK","OK")))</f>
        <v/>
      </c>
      <c r="O199" s="9" t="str">
        <f aca="false">IF(B199="","",IF(J199&lt;2,"Needs 2+ trade sources",IF(M199&lt;=Lists!$E$6,"Good",IF(M199&lt;=Lists!$E$2,"Moderate","Bad"))))</f>
        <v/>
      </c>
    </row>
    <row r="200" customFormat="false" ht="14.25" hidden="false" customHeight="true" outlineLevel="0" collapsed="false">
      <c r="A200" s="6"/>
      <c r="B200" s="7"/>
      <c r="C200" s="8"/>
      <c r="D200" s="9" t="str">
        <f aca="false">IF(OR(B200="",C200=""),"",IFERROR(C200-INDEX(Films!$C$2:$C$100,MATCH(B200,Films!$A$2:$A$100,0))+1,""))</f>
        <v/>
      </c>
      <c r="E200" s="10"/>
      <c r="F200" s="7"/>
      <c r="G200" s="7"/>
      <c r="H200" s="7"/>
      <c r="I200" s="7"/>
      <c r="J200" s="9" t="str">
        <f aca="false">IF(B200="","",COUNTIFS($B$2:$B$500,B200,$C$2:$C$500,C200,$F$2:$F$500,F200,$H$2:$H$500,"Trade estimate"))</f>
        <v/>
      </c>
      <c r="K200" s="11" t="str">
        <f aca="false">IF(OR(J200="",J200=0),"",_xlfn.MAXIFS($E$2:$E$500,$B$2:$B$500,B200,$C$2:$C$500,C200,$F$2:$F$500,F200,$H$2:$H$500,"Trade estimate"))</f>
        <v/>
      </c>
      <c r="L200" s="11" t="str">
        <f aca="false">IF(OR(J200="",J200=0),"",_xlfn.MINIFS($E$2:$E$500,$B$2:$B$500,B200,$C$2:$C$500,C200,$F$2:$F$500,F200,$H$2:$H$500,"Trade estimate"))</f>
        <v/>
      </c>
      <c r="M200" s="12" t="str">
        <f aca="false">IF(OR(J200="",J200&lt;2),"",IF(L200=0,"",(K200-L200)/L200))</f>
        <v/>
      </c>
      <c r="N200" s="13" t="str">
        <f aca="false">IF(B200="","",IF(J200&lt;2,"Needs 2+ trade sources",IF(M200&gt;Lists!$E$2,"CHECK","OK")))</f>
        <v/>
      </c>
      <c r="O200" s="9" t="str">
        <f aca="false">IF(B200="","",IF(J200&lt;2,"Needs 2+ trade sources",IF(M200&lt;=Lists!$E$6,"Good",IF(M200&lt;=Lists!$E$2,"Moderate","Bad"))))</f>
        <v/>
      </c>
    </row>
    <row r="201" customFormat="false" ht="14.25" hidden="false" customHeight="true" outlineLevel="0" collapsed="false">
      <c r="A201" s="6"/>
      <c r="B201" s="7"/>
      <c r="C201" s="8"/>
      <c r="D201" s="9" t="str">
        <f aca="false">IF(OR(B201="",C201=""),"",IFERROR(C201-INDEX(Films!$C$2:$C$100,MATCH(B201,Films!$A$2:$A$100,0))+1,""))</f>
        <v/>
      </c>
      <c r="E201" s="10"/>
      <c r="F201" s="7"/>
      <c r="G201" s="7"/>
      <c r="H201" s="7"/>
      <c r="I201" s="7"/>
      <c r="J201" s="9" t="str">
        <f aca="false">IF(B201="","",COUNTIFS($B$2:$B$500,B201,$C$2:$C$500,C201,$F$2:$F$500,F201,$H$2:$H$500,"Trade estimate"))</f>
        <v/>
      </c>
      <c r="K201" s="11" t="str">
        <f aca="false">IF(OR(J201="",J201=0),"",_xlfn.MAXIFS($E$2:$E$500,$B$2:$B$500,B201,$C$2:$C$500,C201,$F$2:$F$500,F201,$H$2:$H$500,"Trade estimate"))</f>
        <v/>
      </c>
      <c r="L201" s="11" t="str">
        <f aca="false">IF(OR(J201="",J201=0),"",_xlfn.MINIFS($E$2:$E$500,$B$2:$B$500,B201,$C$2:$C$500,C201,$F$2:$F$500,F201,$H$2:$H$500,"Trade estimate"))</f>
        <v/>
      </c>
      <c r="M201" s="12" t="str">
        <f aca="false">IF(OR(J201="",J201&lt;2),"",IF(L201=0,"",(K201-L201)/L201))</f>
        <v/>
      </c>
      <c r="N201" s="13" t="str">
        <f aca="false">IF(B201="","",IF(J201&lt;2,"Needs 2+ trade sources",IF(M201&gt;Lists!$E$2,"CHECK","OK")))</f>
        <v/>
      </c>
      <c r="O201" s="9" t="str">
        <f aca="false">IF(B201="","",IF(J201&lt;2,"Needs 2+ trade sources",IF(M201&lt;=Lists!$E$6,"Good",IF(M201&lt;=Lists!$E$2,"Moderate","Bad"))))</f>
        <v/>
      </c>
    </row>
    <row r="202" customFormat="false" ht="14.25" hidden="false" customHeight="true" outlineLevel="0" collapsed="false">
      <c r="A202" s="6"/>
      <c r="B202" s="7"/>
      <c r="C202" s="8"/>
      <c r="D202" s="9" t="str">
        <f aca="false">IF(OR(B202="",C202=""),"",IFERROR(C202-INDEX(Films!$C$2:$C$100,MATCH(B202,Films!$A$2:$A$100,0))+1,""))</f>
        <v/>
      </c>
      <c r="E202" s="10"/>
      <c r="F202" s="7"/>
      <c r="G202" s="7"/>
      <c r="H202" s="7"/>
      <c r="I202" s="7"/>
      <c r="J202" s="9" t="str">
        <f aca="false">IF(B202="","",COUNTIFS($B$2:$B$500,B202,$C$2:$C$500,C202,$F$2:$F$500,F202,$H$2:$H$500,"Trade estimate"))</f>
        <v/>
      </c>
      <c r="K202" s="11" t="str">
        <f aca="false">IF(OR(J202="",J202=0),"",_xlfn.MAXIFS($E$2:$E$500,$B$2:$B$500,B202,$C$2:$C$500,C202,$F$2:$F$500,F202,$H$2:$H$500,"Trade estimate"))</f>
        <v/>
      </c>
      <c r="L202" s="11" t="str">
        <f aca="false">IF(OR(J202="",J202=0),"",_xlfn.MINIFS($E$2:$E$500,$B$2:$B$500,B202,$C$2:$C$500,C202,$F$2:$F$500,F202,$H$2:$H$500,"Trade estimate"))</f>
        <v/>
      </c>
      <c r="M202" s="12" t="str">
        <f aca="false">IF(OR(J202="",J202&lt;2),"",IF(L202=0,"",(K202-L202)/L202))</f>
        <v/>
      </c>
      <c r="N202" s="13" t="str">
        <f aca="false">IF(B202="","",IF(J202&lt;2,"Needs 2+ trade sources",IF(M202&gt;Lists!$E$2,"CHECK","OK")))</f>
        <v/>
      </c>
      <c r="O202" s="9" t="str">
        <f aca="false">IF(B202="","",IF(J202&lt;2,"Needs 2+ trade sources",IF(M202&lt;=Lists!$E$6,"Good",IF(M202&lt;=Lists!$E$2,"Moderate","Bad"))))</f>
        <v/>
      </c>
    </row>
    <row r="203" customFormat="false" ht="14.25" hidden="false" customHeight="true" outlineLevel="0" collapsed="false">
      <c r="A203" s="6"/>
      <c r="B203" s="7"/>
      <c r="C203" s="8"/>
      <c r="D203" s="9" t="str">
        <f aca="false">IF(OR(B203="",C203=""),"",IFERROR(C203-INDEX(Films!$C$2:$C$100,MATCH(B203,Films!$A$2:$A$100,0))+1,""))</f>
        <v/>
      </c>
      <c r="E203" s="10"/>
      <c r="F203" s="7"/>
      <c r="G203" s="7"/>
      <c r="H203" s="7"/>
      <c r="I203" s="7"/>
      <c r="J203" s="9" t="str">
        <f aca="false">IF(B203="","",COUNTIFS($B$2:$B$500,B203,$C$2:$C$500,C203,$F$2:$F$500,F203,$H$2:$H$500,"Trade estimate"))</f>
        <v/>
      </c>
      <c r="K203" s="11" t="str">
        <f aca="false">IF(OR(J203="",J203=0),"",_xlfn.MAXIFS($E$2:$E$500,$B$2:$B$500,B203,$C$2:$C$500,C203,$F$2:$F$500,F203,$H$2:$H$500,"Trade estimate"))</f>
        <v/>
      </c>
      <c r="L203" s="11" t="str">
        <f aca="false">IF(OR(J203="",J203=0),"",_xlfn.MINIFS($E$2:$E$500,$B$2:$B$500,B203,$C$2:$C$500,C203,$F$2:$F$500,F203,$H$2:$H$500,"Trade estimate"))</f>
        <v/>
      </c>
      <c r="M203" s="12" t="str">
        <f aca="false">IF(OR(J203="",J203&lt;2),"",IF(L203=0,"",(K203-L203)/L203))</f>
        <v/>
      </c>
      <c r="N203" s="13" t="str">
        <f aca="false">IF(B203="","",IF(J203&lt;2,"Needs 2+ trade sources",IF(M203&gt;Lists!$E$2,"CHECK","OK")))</f>
        <v/>
      </c>
      <c r="O203" s="9" t="str">
        <f aca="false">IF(B203="","",IF(J203&lt;2,"Needs 2+ trade sources",IF(M203&lt;=Lists!$E$6,"Good",IF(M203&lt;=Lists!$E$2,"Moderate","Bad"))))</f>
        <v/>
      </c>
    </row>
    <row r="204" customFormat="false" ht="14.25" hidden="false" customHeight="true" outlineLevel="0" collapsed="false">
      <c r="A204" s="6"/>
      <c r="B204" s="7"/>
      <c r="C204" s="8"/>
      <c r="D204" s="9" t="str">
        <f aca="false">IF(OR(B204="",C204=""),"",IFERROR(C204-INDEX(Films!$C$2:$C$100,MATCH(B204,Films!$A$2:$A$100,0))+1,""))</f>
        <v/>
      </c>
      <c r="E204" s="10"/>
      <c r="F204" s="7"/>
      <c r="G204" s="7"/>
      <c r="H204" s="7"/>
      <c r="I204" s="7"/>
      <c r="J204" s="9" t="str">
        <f aca="false">IF(B204="","",COUNTIFS($B$2:$B$500,B204,$C$2:$C$500,C204,$F$2:$F$500,F204,$H$2:$H$500,"Trade estimate"))</f>
        <v/>
      </c>
      <c r="K204" s="11" t="str">
        <f aca="false">IF(OR(J204="",J204=0),"",_xlfn.MAXIFS($E$2:$E$500,$B$2:$B$500,B204,$C$2:$C$500,C204,$F$2:$F$500,F204,$H$2:$H$500,"Trade estimate"))</f>
        <v/>
      </c>
      <c r="L204" s="11" t="str">
        <f aca="false">IF(OR(J204="",J204=0),"",_xlfn.MINIFS($E$2:$E$500,$B$2:$B$500,B204,$C$2:$C$500,C204,$F$2:$F$500,F204,$H$2:$H$500,"Trade estimate"))</f>
        <v/>
      </c>
      <c r="M204" s="12" t="str">
        <f aca="false">IF(OR(J204="",J204&lt;2),"",IF(L204=0,"",(K204-L204)/L204))</f>
        <v/>
      </c>
      <c r="N204" s="13" t="str">
        <f aca="false">IF(B204="","",IF(J204&lt;2,"Needs 2+ trade sources",IF(M204&gt;Lists!$E$2,"CHECK","OK")))</f>
        <v/>
      </c>
      <c r="O204" s="9" t="str">
        <f aca="false">IF(B204="","",IF(J204&lt;2,"Needs 2+ trade sources",IF(M204&lt;=Lists!$E$6,"Good",IF(M204&lt;=Lists!$E$2,"Moderate","Bad"))))</f>
        <v/>
      </c>
    </row>
    <row r="205" customFormat="false" ht="14.25" hidden="false" customHeight="true" outlineLevel="0" collapsed="false">
      <c r="A205" s="6"/>
      <c r="B205" s="7"/>
      <c r="C205" s="8"/>
      <c r="D205" s="9" t="str">
        <f aca="false">IF(OR(B205="",C205=""),"",IFERROR(C205-INDEX(Films!$C$2:$C$100,MATCH(B205,Films!$A$2:$A$100,0))+1,""))</f>
        <v/>
      </c>
      <c r="E205" s="10"/>
      <c r="F205" s="7"/>
      <c r="G205" s="7"/>
      <c r="H205" s="7"/>
      <c r="I205" s="7"/>
      <c r="J205" s="9" t="str">
        <f aca="false">IF(B205="","",COUNTIFS($B$2:$B$500,B205,$C$2:$C$500,C205,$F$2:$F$500,F205,$H$2:$H$500,"Trade estimate"))</f>
        <v/>
      </c>
      <c r="K205" s="11" t="str">
        <f aca="false">IF(OR(J205="",J205=0),"",_xlfn.MAXIFS($E$2:$E$500,$B$2:$B$500,B205,$C$2:$C$500,C205,$F$2:$F$500,F205,$H$2:$H$500,"Trade estimate"))</f>
        <v/>
      </c>
      <c r="L205" s="11" t="str">
        <f aca="false">IF(OR(J205="",J205=0),"",_xlfn.MINIFS($E$2:$E$500,$B$2:$B$500,B205,$C$2:$C$500,C205,$F$2:$F$500,F205,$H$2:$H$500,"Trade estimate"))</f>
        <v/>
      </c>
      <c r="M205" s="12" t="str">
        <f aca="false">IF(OR(J205="",J205&lt;2),"",IF(L205=0,"",(K205-L205)/L205))</f>
        <v/>
      </c>
      <c r="N205" s="13" t="str">
        <f aca="false">IF(B205="","",IF(J205&lt;2,"Needs 2+ trade sources",IF(M205&gt;Lists!$E$2,"CHECK","OK")))</f>
        <v/>
      </c>
      <c r="O205" s="9" t="str">
        <f aca="false">IF(B205="","",IF(J205&lt;2,"Needs 2+ trade sources",IF(M205&lt;=Lists!$E$6,"Good",IF(M205&lt;=Lists!$E$2,"Moderate","Bad"))))</f>
        <v/>
      </c>
    </row>
    <row r="206" customFormat="false" ht="14.25" hidden="false" customHeight="true" outlineLevel="0" collapsed="false">
      <c r="A206" s="6"/>
      <c r="B206" s="7"/>
      <c r="C206" s="8"/>
      <c r="D206" s="9" t="str">
        <f aca="false">IF(OR(B206="",C206=""),"",IFERROR(C206-INDEX(Films!$C$2:$C$100,MATCH(B206,Films!$A$2:$A$100,0))+1,""))</f>
        <v/>
      </c>
      <c r="E206" s="10"/>
      <c r="F206" s="7"/>
      <c r="G206" s="7"/>
      <c r="H206" s="7"/>
      <c r="I206" s="7"/>
      <c r="J206" s="9" t="str">
        <f aca="false">IF(B206="","",COUNTIFS($B$2:$B$500,B206,$C$2:$C$500,C206,$F$2:$F$500,F206,$H$2:$H$500,"Trade estimate"))</f>
        <v/>
      </c>
      <c r="K206" s="11" t="str">
        <f aca="false">IF(OR(J206="",J206=0),"",_xlfn.MAXIFS($E$2:$E$500,$B$2:$B$500,B206,$C$2:$C$500,C206,$F$2:$F$500,F206,$H$2:$H$500,"Trade estimate"))</f>
        <v/>
      </c>
      <c r="L206" s="11" t="str">
        <f aca="false">IF(OR(J206="",J206=0),"",_xlfn.MINIFS($E$2:$E$500,$B$2:$B$500,B206,$C$2:$C$500,C206,$F$2:$F$500,F206,$H$2:$H$500,"Trade estimate"))</f>
        <v/>
      </c>
      <c r="M206" s="12" t="str">
        <f aca="false">IF(OR(J206="",J206&lt;2),"",IF(L206=0,"",(K206-L206)/L206))</f>
        <v/>
      </c>
      <c r="N206" s="13" t="str">
        <f aca="false">IF(B206="","",IF(J206&lt;2,"Needs 2+ trade sources",IF(M206&gt;Lists!$E$2,"CHECK","OK")))</f>
        <v/>
      </c>
      <c r="O206" s="9" t="str">
        <f aca="false">IF(B206="","",IF(J206&lt;2,"Needs 2+ trade sources",IF(M206&lt;=Lists!$E$6,"Good",IF(M206&lt;=Lists!$E$2,"Moderate","Bad"))))</f>
        <v/>
      </c>
    </row>
    <row r="207" customFormat="false" ht="14.25" hidden="false" customHeight="true" outlineLevel="0" collapsed="false">
      <c r="A207" s="6"/>
      <c r="B207" s="7"/>
      <c r="C207" s="8"/>
      <c r="D207" s="9" t="str">
        <f aca="false">IF(OR(B207="",C207=""),"",IFERROR(C207-INDEX(Films!$C$2:$C$100,MATCH(B207,Films!$A$2:$A$100,0))+1,""))</f>
        <v/>
      </c>
      <c r="E207" s="10"/>
      <c r="F207" s="7"/>
      <c r="G207" s="7"/>
      <c r="H207" s="7"/>
      <c r="I207" s="7"/>
      <c r="J207" s="9" t="str">
        <f aca="false">IF(B207="","",COUNTIFS($B$2:$B$500,B207,$C$2:$C$500,C207,$F$2:$F$500,F207,$H$2:$H$500,"Trade estimate"))</f>
        <v/>
      </c>
      <c r="K207" s="11" t="str">
        <f aca="false">IF(OR(J207="",J207=0),"",_xlfn.MAXIFS($E$2:$E$500,$B$2:$B$500,B207,$C$2:$C$500,C207,$F$2:$F$500,F207,$H$2:$H$500,"Trade estimate"))</f>
        <v/>
      </c>
      <c r="L207" s="11" t="str">
        <f aca="false">IF(OR(J207="",J207=0),"",_xlfn.MINIFS($E$2:$E$500,$B$2:$B$500,B207,$C$2:$C$500,C207,$F$2:$F$500,F207,$H$2:$H$500,"Trade estimate"))</f>
        <v/>
      </c>
      <c r="M207" s="12" t="str">
        <f aca="false">IF(OR(J207="",J207&lt;2),"",IF(L207=0,"",(K207-L207)/L207))</f>
        <v/>
      </c>
      <c r="N207" s="13" t="str">
        <f aca="false">IF(B207="","",IF(J207&lt;2,"Needs 2+ trade sources",IF(M207&gt;Lists!$E$2,"CHECK","OK")))</f>
        <v/>
      </c>
      <c r="O207" s="9" t="str">
        <f aca="false">IF(B207="","",IF(J207&lt;2,"Needs 2+ trade sources",IF(M207&lt;=Lists!$E$6,"Good",IF(M207&lt;=Lists!$E$2,"Moderate","Bad"))))</f>
        <v/>
      </c>
    </row>
    <row r="208" customFormat="false" ht="14.25" hidden="false" customHeight="true" outlineLevel="0" collapsed="false">
      <c r="A208" s="6"/>
      <c r="B208" s="7"/>
      <c r="C208" s="8"/>
      <c r="D208" s="9" t="str">
        <f aca="false">IF(OR(B208="",C208=""),"",IFERROR(C208-INDEX(Films!$C$2:$C$100,MATCH(B208,Films!$A$2:$A$100,0))+1,""))</f>
        <v/>
      </c>
      <c r="E208" s="10"/>
      <c r="F208" s="7"/>
      <c r="G208" s="7"/>
      <c r="H208" s="7"/>
      <c r="I208" s="7"/>
      <c r="J208" s="9" t="str">
        <f aca="false">IF(B208="","",COUNTIFS($B$2:$B$500,B208,$C$2:$C$500,C208,$F$2:$F$500,F208,$H$2:$H$500,"Trade estimate"))</f>
        <v/>
      </c>
      <c r="K208" s="11" t="str">
        <f aca="false">IF(OR(J208="",J208=0),"",_xlfn.MAXIFS($E$2:$E$500,$B$2:$B$500,B208,$C$2:$C$500,C208,$F$2:$F$500,F208,$H$2:$H$500,"Trade estimate"))</f>
        <v/>
      </c>
      <c r="L208" s="11" t="str">
        <f aca="false">IF(OR(J208="",J208=0),"",_xlfn.MINIFS($E$2:$E$500,$B$2:$B$500,B208,$C$2:$C$500,C208,$F$2:$F$500,F208,$H$2:$H$500,"Trade estimate"))</f>
        <v/>
      </c>
      <c r="M208" s="12" t="str">
        <f aca="false">IF(OR(J208="",J208&lt;2),"",IF(L208=0,"",(K208-L208)/L208))</f>
        <v/>
      </c>
      <c r="N208" s="13" t="str">
        <f aca="false">IF(B208="","",IF(J208&lt;2,"Needs 2+ trade sources",IF(M208&gt;Lists!$E$2,"CHECK","OK")))</f>
        <v/>
      </c>
      <c r="O208" s="9" t="str">
        <f aca="false">IF(B208="","",IF(J208&lt;2,"Needs 2+ trade sources",IF(M208&lt;=Lists!$E$6,"Good",IF(M208&lt;=Lists!$E$2,"Moderate","Bad"))))</f>
        <v/>
      </c>
    </row>
    <row r="209" customFormat="false" ht="14.25" hidden="false" customHeight="true" outlineLevel="0" collapsed="false">
      <c r="A209" s="6"/>
      <c r="B209" s="7"/>
      <c r="C209" s="8"/>
      <c r="D209" s="9" t="str">
        <f aca="false">IF(OR(B209="",C209=""),"",IFERROR(C209-INDEX(Films!$C$2:$C$100,MATCH(B209,Films!$A$2:$A$100,0))+1,""))</f>
        <v/>
      </c>
      <c r="E209" s="10"/>
      <c r="F209" s="7"/>
      <c r="G209" s="7"/>
      <c r="H209" s="7"/>
      <c r="I209" s="7"/>
      <c r="J209" s="9" t="str">
        <f aca="false">IF(B209="","",COUNTIFS($B$2:$B$500,B209,$C$2:$C$500,C209,$F$2:$F$500,F209,$H$2:$H$500,"Trade estimate"))</f>
        <v/>
      </c>
      <c r="K209" s="11" t="str">
        <f aca="false">IF(OR(J209="",J209=0),"",_xlfn.MAXIFS($E$2:$E$500,$B$2:$B$500,B209,$C$2:$C$500,C209,$F$2:$F$500,F209,$H$2:$H$500,"Trade estimate"))</f>
        <v/>
      </c>
      <c r="L209" s="11" t="str">
        <f aca="false">IF(OR(J209="",J209=0),"",_xlfn.MINIFS($E$2:$E$500,$B$2:$B$500,B209,$C$2:$C$500,C209,$F$2:$F$500,F209,$H$2:$H$500,"Trade estimate"))</f>
        <v/>
      </c>
      <c r="M209" s="12" t="str">
        <f aca="false">IF(OR(J209="",J209&lt;2),"",IF(L209=0,"",(K209-L209)/L209))</f>
        <v/>
      </c>
      <c r="N209" s="13" t="str">
        <f aca="false">IF(B209="","",IF(J209&lt;2,"Needs 2+ trade sources",IF(M209&gt;Lists!$E$2,"CHECK","OK")))</f>
        <v/>
      </c>
      <c r="O209" s="9" t="str">
        <f aca="false">IF(B209="","",IF(J209&lt;2,"Needs 2+ trade sources",IF(M209&lt;=Lists!$E$6,"Good",IF(M209&lt;=Lists!$E$2,"Moderate","Bad"))))</f>
        <v/>
      </c>
    </row>
    <row r="210" customFormat="false" ht="14.25" hidden="false" customHeight="true" outlineLevel="0" collapsed="false">
      <c r="A210" s="6"/>
      <c r="B210" s="7"/>
      <c r="C210" s="8"/>
      <c r="D210" s="9" t="str">
        <f aca="false">IF(OR(B210="",C210=""),"",IFERROR(C210-INDEX(Films!$C$2:$C$100,MATCH(B210,Films!$A$2:$A$100,0))+1,""))</f>
        <v/>
      </c>
      <c r="E210" s="10"/>
      <c r="F210" s="7"/>
      <c r="G210" s="7"/>
      <c r="H210" s="7"/>
      <c r="I210" s="7"/>
      <c r="J210" s="9" t="str">
        <f aca="false">IF(B210="","",COUNTIFS($B$2:$B$500,B210,$C$2:$C$500,C210,$F$2:$F$500,F210,$H$2:$H$500,"Trade estimate"))</f>
        <v/>
      </c>
      <c r="K210" s="11" t="str">
        <f aca="false">IF(OR(J210="",J210=0),"",_xlfn.MAXIFS($E$2:$E$500,$B$2:$B$500,B210,$C$2:$C$500,C210,$F$2:$F$500,F210,$H$2:$H$500,"Trade estimate"))</f>
        <v/>
      </c>
      <c r="L210" s="11" t="str">
        <f aca="false">IF(OR(J210="",J210=0),"",_xlfn.MINIFS($E$2:$E$500,$B$2:$B$500,B210,$C$2:$C$500,C210,$F$2:$F$500,F210,$H$2:$H$500,"Trade estimate"))</f>
        <v/>
      </c>
      <c r="M210" s="12" t="str">
        <f aca="false">IF(OR(J210="",J210&lt;2),"",IF(L210=0,"",(K210-L210)/L210))</f>
        <v/>
      </c>
      <c r="N210" s="13" t="str">
        <f aca="false">IF(B210="","",IF(J210&lt;2,"Needs 2+ trade sources",IF(M210&gt;Lists!$E$2,"CHECK","OK")))</f>
        <v/>
      </c>
      <c r="O210" s="9" t="str">
        <f aca="false">IF(B210="","",IF(J210&lt;2,"Needs 2+ trade sources",IF(M210&lt;=Lists!$E$6,"Good",IF(M210&lt;=Lists!$E$2,"Moderate","Bad"))))</f>
        <v/>
      </c>
    </row>
    <row r="211" customFormat="false" ht="14.25" hidden="false" customHeight="true" outlineLevel="0" collapsed="false">
      <c r="A211" s="6"/>
      <c r="B211" s="7"/>
      <c r="C211" s="8"/>
      <c r="D211" s="9" t="str">
        <f aca="false">IF(OR(B211="",C211=""),"",IFERROR(C211-INDEX(Films!$C$2:$C$100,MATCH(B211,Films!$A$2:$A$100,0))+1,""))</f>
        <v/>
      </c>
      <c r="E211" s="10"/>
      <c r="F211" s="7"/>
      <c r="G211" s="7"/>
      <c r="H211" s="7"/>
      <c r="I211" s="7"/>
      <c r="J211" s="9" t="str">
        <f aca="false">IF(B211="","",COUNTIFS($B$2:$B$500,B211,$C$2:$C$500,C211,$F$2:$F$500,F211,$H$2:$H$500,"Trade estimate"))</f>
        <v/>
      </c>
      <c r="K211" s="11" t="str">
        <f aca="false">IF(OR(J211="",J211=0),"",_xlfn.MAXIFS($E$2:$E$500,$B$2:$B$500,B211,$C$2:$C$500,C211,$F$2:$F$500,F211,$H$2:$H$500,"Trade estimate"))</f>
        <v/>
      </c>
      <c r="L211" s="11" t="str">
        <f aca="false">IF(OR(J211="",J211=0),"",_xlfn.MINIFS($E$2:$E$500,$B$2:$B$500,B211,$C$2:$C$500,C211,$F$2:$F$500,F211,$H$2:$H$500,"Trade estimate"))</f>
        <v/>
      </c>
      <c r="M211" s="12" t="str">
        <f aca="false">IF(OR(J211="",J211&lt;2),"",IF(L211=0,"",(K211-L211)/L211))</f>
        <v/>
      </c>
      <c r="N211" s="13" t="str">
        <f aca="false">IF(B211="","",IF(J211&lt;2,"Needs 2+ trade sources",IF(M211&gt;Lists!$E$2,"CHECK","OK")))</f>
        <v/>
      </c>
      <c r="O211" s="9" t="str">
        <f aca="false">IF(B211="","",IF(J211&lt;2,"Needs 2+ trade sources",IF(M211&lt;=Lists!$E$6,"Good",IF(M211&lt;=Lists!$E$2,"Moderate","Bad"))))</f>
        <v/>
      </c>
    </row>
    <row r="212" customFormat="false" ht="14.25" hidden="false" customHeight="true" outlineLevel="0" collapsed="false">
      <c r="A212" s="6"/>
      <c r="B212" s="7"/>
      <c r="C212" s="8"/>
      <c r="D212" s="9" t="str">
        <f aca="false">IF(OR(B212="",C212=""),"",IFERROR(C212-INDEX(Films!$C$2:$C$100,MATCH(B212,Films!$A$2:$A$100,0))+1,""))</f>
        <v/>
      </c>
      <c r="E212" s="10"/>
      <c r="F212" s="7"/>
      <c r="G212" s="7"/>
      <c r="H212" s="7"/>
      <c r="I212" s="7"/>
      <c r="J212" s="9" t="str">
        <f aca="false">IF(B212="","",COUNTIFS($B$2:$B$500,B212,$C$2:$C$500,C212,$F$2:$F$500,F212,$H$2:$H$500,"Trade estimate"))</f>
        <v/>
      </c>
      <c r="K212" s="11" t="str">
        <f aca="false">IF(OR(J212="",J212=0),"",_xlfn.MAXIFS($E$2:$E$500,$B$2:$B$500,B212,$C$2:$C$500,C212,$F$2:$F$500,F212,$H$2:$H$500,"Trade estimate"))</f>
        <v/>
      </c>
      <c r="L212" s="11" t="str">
        <f aca="false">IF(OR(J212="",J212=0),"",_xlfn.MINIFS($E$2:$E$500,$B$2:$B$500,B212,$C$2:$C$500,C212,$F$2:$F$500,F212,$H$2:$H$500,"Trade estimate"))</f>
        <v/>
      </c>
      <c r="M212" s="12" t="str">
        <f aca="false">IF(OR(J212="",J212&lt;2),"",IF(L212=0,"",(K212-L212)/L212))</f>
        <v/>
      </c>
      <c r="N212" s="13" t="str">
        <f aca="false">IF(B212="","",IF(J212&lt;2,"Needs 2+ trade sources",IF(M212&gt;Lists!$E$2,"CHECK","OK")))</f>
        <v/>
      </c>
      <c r="O212" s="9" t="str">
        <f aca="false">IF(B212="","",IF(J212&lt;2,"Needs 2+ trade sources",IF(M212&lt;=Lists!$E$6,"Good",IF(M212&lt;=Lists!$E$2,"Moderate","Bad"))))</f>
        <v/>
      </c>
    </row>
    <row r="213" customFormat="false" ht="14.25" hidden="false" customHeight="true" outlineLevel="0" collapsed="false">
      <c r="A213" s="6"/>
      <c r="B213" s="7"/>
      <c r="C213" s="8"/>
      <c r="D213" s="9" t="str">
        <f aca="false">IF(OR(B213="",C213=""),"",IFERROR(C213-INDEX(Films!$C$2:$C$100,MATCH(B213,Films!$A$2:$A$100,0))+1,""))</f>
        <v/>
      </c>
      <c r="E213" s="10"/>
      <c r="F213" s="7"/>
      <c r="G213" s="7"/>
      <c r="H213" s="7"/>
      <c r="I213" s="7"/>
      <c r="J213" s="9" t="str">
        <f aca="false">IF(B213="","",COUNTIFS($B$2:$B$500,B213,$C$2:$C$500,C213,$F$2:$F$500,F213,$H$2:$H$500,"Trade estimate"))</f>
        <v/>
      </c>
      <c r="K213" s="11" t="str">
        <f aca="false">IF(OR(J213="",J213=0),"",_xlfn.MAXIFS($E$2:$E$500,$B$2:$B$500,B213,$C$2:$C$500,C213,$F$2:$F$500,F213,$H$2:$H$500,"Trade estimate"))</f>
        <v/>
      </c>
      <c r="L213" s="11" t="str">
        <f aca="false">IF(OR(J213="",J213=0),"",_xlfn.MINIFS($E$2:$E$500,$B$2:$B$500,B213,$C$2:$C$500,C213,$F$2:$F$500,F213,$H$2:$H$500,"Trade estimate"))</f>
        <v/>
      </c>
      <c r="M213" s="12" t="str">
        <f aca="false">IF(OR(J213="",J213&lt;2),"",IF(L213=0,"",(K213-L213)/L213))</f>
        <v/>
      </c>
      <c r="N213" s="13" t="str">
        <f aca="false">IF(B213="","",IF(J213&lt;2,"Needs 2+ trade sources",IF(M213&gt;Lists!$E$2,"CHECK","OK")))</f>
        <v/>
      </c>
      <c r="O213" s="9" t="str">
        <f aca="false">IF(B213="","",IF(J213&lt;2,"Needs 2+ trade sources",IF(M213&lt;=Lists!$E$6,"Good",IF(M213&lt;=Lists!$E$2,"Moderate","Bad"))))</f>
        <v/>
      </c>
    </row>
    <row r="214" customFormat="false" ht="14.25" hidden="false" customHeight="true" outlineLevel="0" collapsed="false">
      <c r="A214" s="6"/>
      <c r="B214" s="7"/>
      <c r="C214" s="8"/>
      <c r="D214" s="9" t="str">
        <f aca="false">IF(OR(B214="",C214=""),"",IFERROR(C214-INDEX(Films!$C$2:$C$100,MATCH(B214,Films!$A$2:$A$100,0))+1,""))</f>
        <v/>
      </c>
      <c r="E214" s="10"/>
      <c r="F214" s="7"/>
      <c r="G214" s="7"/>
      <c r="H214" s="7"/>
      <c r="I214" s="7"/>
      <c r="J214" s="9" t="str">
        <f aca="false">IF(B214="","",COUNTIFS($B$2:$B$500,B214,$C$2:$C$500,C214,$F$2:$F$500,F214,$H$2:$H$500,"Trade estimate"))</f>
        <v/>
      </c>
      <c r="K214" s="11" t="str">
        <f aca="false">IF(OR(J214="",J214=0),"",_xlfn.MAXIFS($E$2:$E$500,$B$2:$B$500,B214,$C$2:$C$500,C214,$F$2:$F$500,F214,$H$2:$H$500,"Trade estimate"))</f>
        <v/>
      </c>
      <c r="L214" s="11" t="str">
        <f aca="false">IF(OR(J214="",J214=0),"",_xlfn.MINIFS($E$2:$E$500,$B$2:$B$500,B214,$C$2:$C$500,C214,$F$2:$F$500,F214,$H$2:$H$500,"Trade estimate"))</f>
        <v/>
      </c>
      <c r="M214" s="12" t="str">
        <f aca="false">IF(OR(J214="",J214&lt;2),"",IF(L214=0,"",(K214-L214)/L214))</f>
        <v/>
      </c>
      <c r="N214" s="13" t="str">
        <f aca="false">IF(B214="","",IF(J214&lt;2,"Needs 2+ trade sources",IF(M214&gt;Lists!$E$2,"CHECK","OK")))</f>
        <v/>
      </c>
      <c r="O214" s="9" t="str">
        <f aca="false">IF(B214="","",IF(J214&lt;2,"Needs 2+ trade sources",IF(M214&lt;=Lists!$E$6,"Good",IF(M214&lt;=Lists!$E$2,"Moderate","Bad"))))</f>
        <v/>
      </c>
    </row>
    <row r="215" customFormat="false" ht="14.25" hidden="false" customHeight="true" outlineLevel="0" collapsed="false">
      <c r="A215" s="6"/>
      <c r="B215" s="7"/>
      <c r="C215" s="8"/>
      <c r="D215" s="9" t="str">
        <f aca="false">IF(OR(B215="",C215=""),"",IFERROR(C215-INDEX(Films!$C$2:$C$100,MATCH(B215,Films!$A$2:$A$100,0))+1,""))</f>
        <v/>
      </c>
      <c r="E215" s="10"/>
      <c r="F215" s="7"/>
      <c r="G215" s="7"/>
      <c r="H215" s="7"/>
      <c r="I215" s="7"/>
      <c r="J215" s="9" t="str">
        <f aca="false">IF(B215="","",COUNTIFS($B$2:$B$500,B215,$C$2:$C$500,C215,$F$2:$F$500,F215,$H$2:$H$500,"Trade estimate"))</f>
        <v/>
      </c>
      <c r="K215" s="11" t="str">
        <f aca="false">IF(OR(J215="",J215=0),"",_xlfn.MAXIFS($E$2:$E$500,$B$2:$B$500,B215,$C$2:$C$500,C215,$F$2:$F$500,F215,$H$2:$H$500,"Trade estimate"))</f>
        <v/>
      </c>
      <c r="L215" s="11" t="str">
        <f aca="false">IF(OR(J215="",J215=0),"",_xlfn.MINIFS($E$2:$E$500,$B$2:$B$500,B215,$C$2:$C$500,C215,$F$2:$F$500,F215,$H$2:$H$500,"Trade estimate"))</f>
        <v/>
      </c>
      <c r="M215" s="12" t="str">
        <f aca="false">IF(OR(J215="",J215&lt;2),"",IF(L215=0,"",(K215-L215)/L215))</f>
        <v/>
      </c>
      <c r="N215" s="13" t="str">
        <f aca="false">IF(B215="","",IF(J215&lt;2,"Needs 2+ trade sources",IF(M215&gt;Lists!$E$2,"CHECK","OK")))</f>
        <v/>
      </c>
      <c r="O215" s="9" t="str">
        <f aca="false">IF(B215="","",IF(J215&lt;2,"Needs 2+ trade sources",IF(M215&lt;=Lists!$E$6,"Good",IF(M215&lt;=Lists!$E$2,"Moderate","Bad"))))</f>
        <v/>
      </c>
    </row>
    <row r="216" customFormat="false" ht="14.25" hidden="false" customHeight="true" outlineLevel="0" collapsed="false">
      <c r="A216" s="6"/>
      <c r="B216" s="7"/>
      <c r="C216" s="8"/>
      <c r="D216" s="9" t="str">
        <f aca="false">IF(OR(B216="",C216=""),"",IFERROR(C216-INDEX(Films!$C$2:$C$100,MATCH(B216,Films!$A$2:$A$100,0))+1,""))</f>
        <v/>
      </c>
      <c r="E216" s="10"/>
      <c r="F216" s="7"/>
      <c r="G216" s="7"/>
      <c r="H216" s="7"/>
      <c r="I216" s="7"/>
      <c r="J216" s="9" t="str">
        <f aca="false">IF(B216="","",COUNTIFS($B$2:$B$500,B216,$C$2:$C$500,C216,$F$2:$F$500,F216,$H$2:$H$500,"Trade estimate"))</f>
        <v/>
      </c>
      <c r="K216" s="11" t="str">
        <f aca="false">IF(OR(J216="",J216=0),"",_xlfn.MAXIFS($E$2:$E$500,$B$2:$B$500,B216,$C$2:$C$500,C216,$F$2:$F$500,F216,$H$2:$H$500,"Trade estimate"))</f>
        <v/>
      </c>
      <c r="L216" s="11" t="str">
        <f aca="false">IF(OR(J216="",J216=0),"",_xlfn.MINIFS($E$2:$E$500,$B$2:$B$500,B216,$C$2:$C$500,C216,$F$2:$F$500,F216,$H$2:$H$500,"Trade estimate"))</f>
        <v/>
      </c>
      <c r="M216" s="12" t="str">
        <f aca="false">IF(OR(J216="",J216&lt;2),"",IF(L216=0,"",(K216-L216)/L216))</f>
        <v/>
      </c>
      <c r="N216" s="13" t="str">
        <f aca="false">IF(B216="","",IF(J216&lt;2,"Needs 2+ trade sources",IF(M216&gt;Lists!$E$2,"CHECK","OK")))</f>
        <v/>
      </c>
      <c r="O216" s="9" t="str">
        <f aca="false">IF(B216="","",IF(J216&lt;2,"Needs 2+ trade sources",IF(M216&lt;=Lists!$E$6,"Good",IF(M216&lt;=Lists!$E$2,"Moderate","Bad"))))</f>
        <v/>
      </c>
    </row>
    <row r="217" customFormat="false" ht="14.25" hidden="false" customHeight="true" outlineLevel="0" collapsed="false">
      <c r="A217" s="6"/>
      <c r="B217" s="7"/>
      <c r="C217" s="8"/>
      <c r="D217" s="9" t="str">
        <f aca="false">IF(OR(B217="",C217=""),"",IFERROR(C217-INDEX(Films!$C$2:$C$100,MATCH(B217,Films!$A$2:$A$100,0))+1,""))</f>
        <v/>
      </c>
      <c r="E217" s="10"/>
      <c r="F217" s="7"/>
      <c r="G217" s="7"/>
      <c r="H217" s="7"/>
      <c r="I217" s="7"/>
      <c r="J217" s="9" t="str">
        <f aca="false">IF(B217="","",COUNTIFS($B$2:$B$500,B217,$C$2:$C$500,C217,$F$2:$F$500,F217,$H$2:$H$500,"Trade estimate"))</f>
        <v/>
      </c>
      <c r="K217" s="11" t="str">
        <f aca="false">IF(OR(J217="",J217=0),"",_xlfn.MAXIFS($E$2:$E$500,$B$2:$B$500,B217,$C$2:$C$500,C217,$F$2:$F$500,F217,$H$2:$H$500,"Trade estimate"))</f>
        <v/>
      </c>
      <c r="L217" s="11" t="str">
        <f aca="false">IF(OR(J217="",J217=0),"",_xlfn.MINIFS($E$2:$E$500,$B$2:$B$500,B217,$C$2:$C$500,C217,$F$2:$F$500,F217,$H$2:$H$500,"Trade estimate"))</f>
        <v/>
      </c>
      <c r="M217" s="12" t="str">
        <f aca="false">IF(OR(J217="",J217&lt;2),"",IF(L217=0,"",(K217-L217)/L217))</f>
        <v/>
      </c>
      <c r="N217" s="13" t="str">
        <f aca="false">IF(B217="","",IF(J217&lt;2,"Needs 2+ trade sources",IF(M217&gt;Lists!$E$2,"CHECK","OK")))</f>
        <v/>
      </c>
      <c r="O217" s="9" t="str">
        <f aca="false">IF(B217="","",IF(J217&lt;2,"Needs 2+ trade sources",IF(M217&lt;=Lists!$E$6,"Good",IF(M217&lt;=Lists!$E$2,"Moderate","Bad"))))</f>
        <v/>
      </c>
    </row>
    <row r="218" customFormat="false" ht="14.25" hidden="false" customHeight="true" outlineLevel="0" collapsed="false">
      <c r="A218" s="6"/>
      <c r="B218" s="7"/>
      <c r="C218" s="8"/>
      <c r="D218" s="9" t="str">
        <f aca="false">IF(OR(B218="",C218=""),"",IFERROR(C218-INDEX(Films!$C$2:$C$100,MATCH(B218,Films!$A$2:$A$100,0))+1,""))</f>
        <v/>
      </c>
      <c r="E218" s="10"/>
      <c r="F218" s="7"/>
      <c r="G218" s="7"/>
      <c r="H218" s="7"/>
      <c r="I218" s="7"/>
      <c r="J218" s="9" t="str">
        <f aca="false">IF(B218="","",COUNTIFS($B$2:$B$500,B218,$C$2:$C$500,C218,$F$2:$F$500,F218,$H$2:$H$500,"Trade estimate"))</f>
        <v/>
      </c>
      <c r="K218" s="11" t="str">
        <f aca="false">IF(OR(J218="",J218=0),"",_xlfn.MAXIFS($E$2:$E$500,$B$2:$B$500,B218,$C$2:$C$500,C218,$F$2:$F$500,F218,$H$2:$H$500,"Trade estimate"))</f>
        <v/>
      </c>
      <c r="L218" s="11" t="str">
        <f aca="false">IF(OR(J218="",J218=0),"",_xlfn.MINIFS($E$2:$E$500,$B$2:$B$500,B218,$C$2:$C$500,C218,$F$2:$F$500,F218,$H$2:$H$500,"Trade estimate"))</f>
        <v/>
      </c>
      <c r="M218" s="12" t="str">
        <f aca="false">IF(OR(J218="",J218&lt;2),"",IF(L218=0,"",(K218-L218)/L218))</f>
        <v/>
      </c>
      <c r="N218" s="13" t="str">
        <f aca="false">IF(B218="","",IF(J218&lt;2,"Needs 2+ trade sources",IF(M218&gt;Lists!$E$2,"CHECK","OK")))</f>
        <v/>
      </c>
      <c r="O218" s="9" t="str">
        <f aca="false">IF(B218="","",IF(J218&lt;2,"Needs 2+ trade sources",IF(M218&lt;=Lists!$E$6,"Good",IF(M218&lt;=Lists!$E$2,"Moderate","Bad"))))</f>
        <v/>
      </c>
    </row>
    <row r="219" customFormat="false" ht="14.25" hidden="false" customHeight="true" outlineLevel="0" collapsed="false">
      <c r="A219" s="6"/>
      <c r="B219" s="7"/>
      <c r="C219" s="8"/>
      <c r="D219" s="9" t="str">
        <f aca="false">IF(OR(B219="",C219=""),"",IFERROR(C219-INDEX(Films!$C$2:$C$100,MATCH(B219,Films!$A$2:$A$100,0))+1,""))</f>
        <v/>
      </c>
      <c r="E219" s="10"/>
      <c r="F219" s="7"/>
      <c r="G219" s="7"/>
      <c r="H219" s="7"/>
      <c r="I219" s="7"/>
      <c r="J219" s="9" t="str">
        <f aca="false">IF(B219="","",COUNTIFS($B$2:$B$500,B219,$C$2:$C$500,C219,$F$2:$F$500,F219,$H$2:$H$500,"Trade estimate"))</f>
        <v/>
      </c>
      <c r="K219" s="11" t="str">
        <f aca="false">IF(OR(J219="",J219=0),"",_xlfn.MAXIFS($E$2:$E$500,$B$2:$B$500,B219,$C$2:$C$500,C219,$F$2:$F$500,F219,$H$2:$H$500,"Trade estimate"))</f>
        <v/>
      </c>
      <c r="L219" s="11" t="str">
        <f aca="false">IF(OR(J219="",J219=0),"",_xlfn.MINIFS($E$2:$E$500,$B$2:$B$500,B219,$C$2:$C$500,C219,$F$2:$F$500,F219,$H$2:$H$500,"Trade estimate"))</f>
        <v/>
      </c>
      <c r="M219" s="12" t="str">
        <f aca="false">IF(OR(J219="",J219&lt;2),"",IF(L219=0,"",(K219-L219)/L219))</f>
        <v/>
      </c>
      <c r="N219" s="13" t="str">
        <f aca="false">IF(B219="","",IF(J219&lt;2,"Needs 2+ trade sources",IF(M219&gt;Lists!$E$2,"CHECK","OK")))</f>
        <v/>
      </c>
      <c r="O219" s="9" t="str">
        <f aca="false">IF(B219="","",IF(J219&lt;2,"Needs 2+ trade sources",IF(M219&lt;=Lists!$E$6,"Good",IF(M219&lt;=Lists!$E$2,"Moderate","Bad"))))</f>
        <v/>
      </c>
    </row>
    <row r="220" customFormat="false" ht="14.25" hidden="false" customHeight="true" outlineLevel="0" collapsed="false">
      <c r="A220" s="6"/>
      <c r="B220" s="7"/>
      <c r="C220" s="8"/>
      <c r="D220" s="9" t="str">
        <f aca="false">IF(OR(B220="",C220=""),"",IFERROR(C220-INDEX(Films!$C$2:$C$100,MATCH(B220,Films!$A$2:$A$100,0))+1,""))</f>
        <v/>
      </c>
      <c r="E220" s="10"/>
      <c r="F220" s="7"/>
      <c r="G220" s="7"/>
      <c r="H220" s="7"/>
      <c r="I220" s="7"/>
      <c r="J220" s="9" t="str">
        <f aca="false">IF(B220="","",COUNTIFS($B$2:$B$500,B220,$C$2:$C$500,C220,$F$2:$F$500,F220,$H$2:$H$500,"Trade estimate"))</f>
        <v/>
      </c>
      <c r="K220" s="11" t="str">
        <f aca="false">IF(OR(J220="",J220=0),"",_xlfn.MAXIFS($E$2:$E$500,$B$2:$B$500,B220,$C$2:$C$500,C220,$F$2:$F$500,F220,$H$2:$H$500,"Trade estimate"))</f>
        <v/>
      </c>
      <c r="L220" s="11" t="str">
        <f aca="false">IF(OR(J220="",J220=0),"",_xlfn.MINIFS($E$2:$E$500,$B$2:$B$500,B220,$C$2:$C$500,C220,$F$2:$F$500,F220,$H$2:$H$500,"Trade estimate"))</f>
        <v/>
      </c>
      <c r="M220" s="12" t="str">
        <f aca="false">IF(OR(J220="",J220&lt;2),"",IF(L220=0,"",(K220-L220)/L220))</f>
        <v/>
      </c>
      <c r="N220" s="13" t="str">
        <f aca="false">IF(B220="","",IF(J220&lt;2,"Needs 2+ trade sources",IF(M220&gt;Lists!$E$2,"CHECK","OK")))</f>
        <v/>
      </c>
      <c r="O220" s="9" t="str">
        <f aca="false">IF(B220="","",IF(J220&lt;2,"Needs 2+ trade sources",IF(M220&lt;=Lists!$E$6,"Good",IF(M220&lt;=Lists!$E$2,"Moderate","Bad"))))</f>
        <v/>
      </c>
    </row>
    <row r="221" customFormat="false" ht="14.25" hidden="false" customHeight="true" outlineLevel="0" collapsed="false">
      <c r="A221" s="6"/>
      <c r="B221" s="7"/>
      <c r="C221" s="8"/>
      <c r="D221" s="9" t="str">
        <f aca="false">IF(OR(B221="",C221=""),"",IFERROR(C221-INDEX(Films!$C$2:$C$100,MATCH(B221,Films!$A$2:$A$100,0))+1,""))</f>
        <v/>
      </c>
      <c r="E221" s="10"/>
      <c r="F221" s="7"/>
      <c r="G221" s="7"/>
      <c r="H221" s="7"/>
      <c r="I221" s="7"/>
      <c r="J221" s="9" t="str">
        <f aca="false">IF(B221="","",COUNTIFS($B$2:$B$500,B221,$C$2:$C$500,C221,$F$2:$F$500,F221,$H$2:$H$500,"Trade estimate"))</f>
        <v/>
      </c>
      <c r="K221" s="11" t="str">
        <f aca="false">IF(OR(J221="",J221=0),"",_xlfn.MAXIFS($E$2:$E$500,$B$2:$B$500,B221,$C$2:$C$500,C221,$F$2:$F$500,F221,$H$2:$H$500,"Trade estimate"))</f>
        <v/>
      </c>
      <c r="L221" s="11" t="str">
        <f aca="false">IF(OR(J221="",J221=0),"",_xlfn.MINIFS($E$2:$E$500,$B$2:$B$500,B221,$C$2:$C$500,C221,$F$2:$F$500,F221,$H$2:$H$500,"Trade estimate"))</f>
        <v/>
      </c>
      <c r="M221" s="12" t="str">
        <f aca="false">IF(OR(J221="",J221&lt;2),"",IF(L221=0,"",(K221-L221)/L221))</f>
        <v/>
      </c>
      <c r="N221" s="13" t="str">
        <f aca="false">IF(B221="","",IF(J221&lt;2,"Needs 2+ trade sources",IF(M221&gt;Lists!$E$2,"CHECK","OK")))</f>
        <v/>
      </c>
      <c r="O221" s="9" t="str">
        <f aca="false">IF(B221="","",IF(J221&lt;2,"Needs 2+ trade sources",IF(M221&lt;=Lists!$E$6,"Good",IF(M221&lt;=Lists!$E$2,"Moderate","Bad"))))</f>
        <v/>
      </c>
    </row>
    <row r="222" customFormat="false" ht="14.25" hidden="false" customHeight="true" outlineLevel="0" collapsed="false">
      <c r="A222" s="6"/>
      <c r="B222" s="7"/>
      <c r="C222" s="8"/>
      <c r="D222" s="9" t="str">
        <f aca="false">IF(OR(B222="",C222=""),"",IFERROR(C222-INDEX(Films!$C$2:$C$100,MATCH(B222,Films!$A$2:$A$100,0))+1,""))</f>
        <v/>
      </c>
      <c r="E222" s="10"/>
      <c r="F222" s="7"/>
      <c r="G222" s="7"/>
      <c r="H222" s="7"/>
      <c r="I222" s="7"/>
      <c r="J222" s="9" t="str">
        <f aca="false">IF(B222="","",COUNTIFS($B$2:$B$500,B222,$C$2:$C$500,C222,$F$2:$F$500,F222,$H$2:$H$500,"Trade estimate"))</f>
        <v/>
      </c>
      <c r="K222" s="11" t="str">
        <f aca="false">IF(OR(J222="",J222=0),"",_xlfn.MAXIFS($E$2:$E$500,$B$2:$B$500,B222,$C$2:$C$500,C222,$F$2:$F$500,F222,$H$2:$H$500,"Trade estimate"))</f>
        <v/>
      </c>
      <c r="L222" s="11" t="str">
        <f aca="false">IF(OR(J222="",J222=0),"",_xlfn.MINIFS($E$2:$E$500,$B$2:$B$500,B222,$C$2:$C$500,C222,$F$2:$F$500,F222,$H$2:$H$500,"Trade estimate"))</f>
        <v/>
      </c>
      <c r="M222" s="12" t="str">
        <f aca="false">IF(OR(J222="",J222&lt;2),"",IF(L222=0,"",(K222-L222)/L222))</f>
        <v/>
      </c>
      <c r="N222" s="13" t="str">
        <f aca="false">IF(B222="","",IF(J222&lt;2,"Needs 2+ trade sources",IF(M222&gt;Lists!$E$2,"CHECK","OK")))</f>
        <v/>
      </c>
      <c r="O222" s="9" t="str">
        <f aca="false">IF(B222="","",IF(J222&lt;2,"Needs 2+ trade sources",IF(M222&lt;=Lists!$E$6,"Good",IF(M222&lt;=Lists!$E$2,"Moderate","Bad"))))</f>
        <v/>
      </c>
    </row>
    <row r="223" customFormat="false" ht="14.25" hidden="false" customHeight="true" outlineLevel="0" collapsed="false">
      <c r="A223" s="6"/>
      <c r="B223" s="7"/>
      <c r="C223" s="8"/>
      <c r="D223" s="9" t="str">
        <f aca="false">IF(OR(B223="",C223=""),"",IFERROR(C223-INDEX(Films!$C$2:$C$100,MATCH(B223,Films!$A$2:$A$100,0))+1,""))</f>
        <v/>
      </c>
      <c r="E223" s="10"/>
      <c r="F223" s="7"/>
      <c r="G223" s="7"/>
      <c r="H223" s="7"/>
      <c r="I223" s="7"/>
      <c r="J223" s="9" t="str">
        <f aca="false">IF(B223="","",COUNTIFS($B$2:$B$500,B223,$C$2:$C$500,C223,$F$2:$F$500,F223,$H$2:$H$500,"Trade estimate"))</f>
        <v/>
      </c>
      <c r="K223" s="11" t="str">
        <f aca="false">IF(OR(J223="",J223=0),"",_xlfn.MAXIFS($E$2:$E$500,$B$2:$B$500,B223,$C$2:$C$500,C223,$F$2:$F$500,F223,$H$2:$H$500,"Trade estimate"))</f>
        <v/>
      </c>
      <c r="L223" s="11" t="str">
        <f aca="false">IF(OR(J223="",J223=0),"",_xlfn.MINIFS($E$2:$E$500,$B$2:$B$500,B223,$C$2:$C$500,C223,$F$2:$F$500,F223,$H$2:$H$500,"Trade estimate"))</f>
        <v/>
      </c>
      <c r="M223" s="12" t="str">
        <f aca="false">IF(OR(J223="",J223&lt;2),"",IF(L223=0,"",(K223-L223)/L223))</f>
        <v/>
      </c>
      <c r="N223" s="13" t="str">
        <f aca="false">IF(B223="","",IF(J223&lt;2,"Needs 2+ trade sources",IF(M223&gt;Lists!$E$2,"CHECK","OK")))</f>
        <v/>
      </c>
      <c r="O223" s="9" t="str">
        <f aca="false">IF(B223="","",IF(J223&lt;2,"Needs 2+ trade sources",IF(M223&lt;=Lists!$E$6,"Good",IF(M223&lt;=Lists!$E$2,"Moderate","Bad"))))</f>
        <v/>
      </c>
    </row>
    <row r="224" customFormat="false" ht="14.25" hidden="false" customHeight="true" outlineLevel="0" collapsed="false">
      <c r="A224" s="6"/>
      <c r="B224" s="7"/>
      <c r="C224" s="8"/>
      <c r="D224" s="9" t="str">
        <f aca="false">IF(OR(B224="",C224=""),"",IFERROR(C224-INDEX(Films!$C$2:$C$100,MATCH(B224,Films!$A$2:$A$100,0))+1,""))</f>
        <v/>
      </c>
      <c r="E224" s="10"/>
      <c r="F224" s="7"/>
      <c r="G224" s="7"/>
      <c r="H224" s="7"/>
      <c r="I224" s="7"/>
      <c r="J224" s="9" t="str">
        <f aca="false">IF(B224="","",COUNTIFS($B$2:$B$500,B224,$C$2:$C$500,C224,$F$2:$F$500,F224,$H$2:$H$500,"Trade estimate"))</f>
        <v/>
      </c>
      <c r="K224" s="11" t="str">
        <f aca="false">IF(OR(J224="",J224=0),"",_xlfn.MAXIFS($E$2:$E$500,$B$2:$B$500,B224,$C$2:$C$500,C224,$F$2:$F$500,F224,$H$2:$H$500,"Trade estimate"))</f>
        <v/>
      </c>
      <c r="L224" s="11" t="str">
        <f aca="false">IF(OR(J224="",J224=0),"",_xlfn.MINIFS($E$2:$E$500,$B$2:$B$500,B224,$C$2:$C$500,C224,$F$2:$F$500,F224,$H$2:$H$500,"Trade estimate"))</f>
        <v/>
      </c>
      <c r="M224" s="12" t="str">
        <f aca="false">IF(OR(J224="",J224&lt;2),"",IF(L224=0,"",(K224-L224)/L224))</f>
        <v/>
      </c>
      <c r="N224" s="13" t="str">
        <f aca="false">IF(B224="","",IF(J224&lt;2,"Needs 2+ trade sources",IF(M224&gt;Lists!$E$2,"CHECK","OK")))</f>
        <v/>
      </c>
      <c r="O224" s="9" t="str">
        <f aca="false">IF(B224="","",IF(J224&lt;2,"Needs 2+ trade sources",IF(M224&lt;=Lists!$E$6,"Good",IF(M224&lt;=Lists!$E$2,"Moderate","Bad"))))</f>
        <v/>
      </c>
    </row>
    <row r="225" customFormat="false" ht="14.25" hidden="false" customHeight="true" outlineLevel="0" collapsed="false">
      <c r="A225" s="6"/>
      <c r="B225" s="7"/>
      <c r="C225" s="8"/>
      <c r="D225" s="9" t="str">
        <f aca="false">IF(OR(B225="",C225=""),"",IFERROR(C225-INDEX(Films!$C$2:$C$100,MATCH(B225,Films!$A$2:$A$100,0))+1,""))</f>
        <v/>
      </c>
      <c r="E225" s="10"/>
      <c r="F225" s="7"/>
      <c r="G225" s="7"/>
      <c r="H225" s="7"/>
      <c r="I225" s="7"/>
      <c r="J225" s="9" t="str">
        <f aca="false">IF(B225="","",COUNTIFS($B$2:$B$500,B225,$C$2:$C$500,C225,$F$2:$F$500,F225,$H$2:$H$500,"Trade estimate"))</f>
        <v/>
      </c>
      <c r="K225" s="11" t="str">
        <f aca="false">IF(OR(J225="",J225=0),"",_xlfn.MAXIFS($E$2:$E$500,$B$2:$B$500,B225,$C$2:$C$500,C225,$F$2:$F$500,F225,$H$2:$H$500,"Trade estimate"))</f>
        <v/>
      </c>
      <c r="L225" s="11" t="str">
        <f aca="false">IF(OR(J225="",J225=0),"",_xlfn.MINIFS($E$2:$E$500,$B$2:$B$500,B225,$C$2:$C$500,C225,$F$2:$F$500,F225,$H$2:$H$500,"Trade estimate"))</f>
        <v/>
      </c>
      <c r="M225" s="12" t="str">
        <f aca="false">IF(OR(J225="",J225&lt;2),"",IF(L225=0,"",(K225-L225)/L225))</f>
        <v/>
      </c>
      <c r="N225" s="13" t="str">
        <f aca="false">IF(B225="","",IF(J225&lt;2,"Needs 2+ trade sources",IF(M225&gt;Lists!$E$2,"CHECK","OK")))</f>
        <v/>
      </c>
      <c r="O225" s="9" t="str">
        <f aca="false">IF(B225="","",IF(J225&lt;2,"Needs 2+ trade sources",IF(M225&lt;=Lists!$E$6,"Good",IF(M225&lt;=Lists!$E$2,"Moderate","Bad"))))</f>
        <v/>
      </c>
    </row>
    <row r="226" customFormat="false" ht="14.25" hidden="false" customHeight="true" outlineLevel="0" collapsed="false">
      <c r="A226" s="6"/>
      <c r="B226" s="7"/>
      <c r="C226" s="8"/>
      <c r="D226" s="9" t="str">
        <f aca="false">IF(OR(B226="",C226=""),"",IFERROR(C226-INDEX(Films!$C$2:$C$100,MATCH(B226,Films!$A$2:$A$100,0))+1,""))</f>
        <v/>
      </c>
      <c r="E226" s="10"/>
      <c r="F226" s="7"/>
      <c r="G226" s="7"/>
      <c r="H226" s="7"/>
      <c r="I226" s="7"/>
      <c r="J226" s="9" t="str">
        <f aca="false">IF(B226="","",COUNTIFS($B$2:$B$500,B226,$C$2:$C$500,C226,$F$2:$F$500,F226,$H$2:$H$500,"Trade estimate"))</f>
        <v/>
      </c>
      <c r="K226" s="11" t="str">
        <f aca="false">IF(OR(J226="",J226=0),"",_xlfn.MAXIFS($E$2:$E$500,$B$2:$B$500,B226,$C$2:$C$500,C226,$F$2:$F$500,F226,$H$2:$H$500,"Trade estimate"))</f>
        <v/>
      </c>
      <c r="L226" s="11" t="str">
        <f aca="false">IF(OR(J226="",J226=0),"",_xlfn.MINIFS($E$2:$E$500,$B$2:$B$500,B226,$C$2:$C$500,C226,$F$2:$F$500,F226,$H$2:$H$500,"Trade estimate"))</f>
        <v/>
      </c>
      <c r="M226" s="12" t="str">
        <f aca="false">IF(OR(J226="",J226&lt;2),"",IF(L226=0,"",(K226-L226)/L226))</f>
        <v/>
      </c>
      <c r="N226" s="13" t="str">
        <f aca="false">IF(B226="","",IF(J226&lt;2,"Needs 2+ trade sources",IF(M226&gt;Lists!$E$2,"CHECK","OK")))</f>
        <v/>
      </c>
      <c r="O226" s="9" t="str">
        <f aca="false">IF(B226="","",IF(J226&lt;2,"Needs 2+ trade sources",IF(M226&lt;=Lists!$E$6,"Good",IF(M226&lt;=Lists!$E$2,"Moderate","Bad"))))</f>
        <v/>
      </c>
    </row>
    <row r="227" customFormat="false" ht="14.25" hidden="false" customHeight="true" outlineLevel="0" collapsed="false">
      <c r="A227" s="6"/>
      <c r="B227" s="7"/>
      <c r="C227" s="8"/>
      <c r="D227" s="9" t="str">
        <f aca="false">IF(OR(B227="",C227=""),"",IFERROR(C227-INDEX(Films!$C$2:$C$100,MATCH(B227,Films!$A$2:$A$100,0))+1,""))</f>
        <v/>
      </c>
      <c r="E227" s="10"/>
      <c r="F227" s="7"/>
      <c r="G227" s="7"/>
      <c r="H227" s="7"/>
      <c r="I227" s="7"/>
      <c r="J227" s="9" t="str">
        <f aca="false">IF(B227="","",COUNTIFS($B$2:$B$500,B227,$C$2:$C$500,C227,$F$2:$F$500,F227,$H$2:$H$500,"Trade estimate"))</f>
        <v/>
      </c>
      <c r="K227" s="11" t="str">
        <f aca="false">IF(OR(J227="",J227=0),"",_xlfn.MAXIFS($E$2:$E$500,$B$2:$B$500,B227,$C$2:$C$500,C227,$F$2:$F$500,F227,$H$2:$H$500,"Trade estimate"))</f>
        <v/>
      </c>
      <c r="L227" s="11" t="str">
        <f aca="false">IF(OR(J227="",J227=0),"",_xlfn.MINIFS($E$2:$E$500,$B$2:$B$500,B227,$C$2:$C$500,C227,$F$2:$F$500,F227,$H$2:$H$500,"Trade estimate"))</f>
        <v/>
      </c>
      <c r="M227" s="12" t="str">
        <f aca="false">IF(OR(J227="",J227&lt;2),"",IF(L227=0,"",(K227-L227)/L227))</f>
        <v/>
      </c>
      <c r="N227" s="13" t="str">
        <f aca="false">IF(B227="","",IF(J227&lt;2,"Needs 2+ trade sources",IF(M227&gt;Lists!$E$2,"CHECK","OK")))</f>
        <v/>
      </c>
      <c r="O227" s="9" t="str">
        <f aca="false">IF(B227="","",IF(J227&lt;2,"Needs 2+ trade sources",IF(M227&lt;=Lists!$E$6,"Good",IF(M227&lt;=Lists!$E$2,"Moderate","Bad"))))</f>
        <v/>
      </c>
    </row>
    <row r="228" customFormat="false" ht="14.25" hidden="false" customHeight="true" outlineLevel="0" collapsed="false">
      <c r="A228" s="6"/>
      <c r="B228" s="7"/>
      <c r="C228" s="8"/>
      <c r="D228" s="9" t="str">
        <f aca="false">IF(OR(B228="",C228=""),"",IFERROR(C228-INDEX(Films!$C$2:$C$100,MATCH(B228,Films!$A$2:$A$100,0))+1,""))</f>
        <v/>
      </c>
      <c r="E228" s="10"/>
      <c r="F228" s="7"/>
      <c r="G228" s="7"/>
      <c r="H228" s="7"/>
      <c r="I228" s="7"/>
      <c r="J228" s="9" t="str">
        <f aca="false">IF(B228="","",COUNTIFS($B$2:$B$500,B228,$C$2:$C$500,C228,$F$2:$F$500,F228,$H$2:$H$500,"Trade estimate"))</f>
        <v/>
      </c>
      <c r="K228" s="11" t="str">
        <f aca="false">IF(OR(J228="",J228=0),"",_xlfn.MAXIFS($E$2:$E$500,$B$2:$B$500,B228,$C$2:$C$500,C228,$F$2:$F$500,F228,$H$2:$H$500,"Trade estimate"))</f>
        <v/>
      </c>
      <c r="L228" s="11" t="str">
        <f aca="false">IF(OR(J228="",J228=0),"",_xlfn.MINIFS($E$2:$E$500,$B$2:$B$500,B228,$C$2:$C$500,C228,$F$2:$F$500,F228,$H$2:$H$500,"Trade estimate"))</f>
        <v/>
      </c>
      <c r="M228" s="12" t="str">
        <f aca="false">IF(OR(J228="",J228&lt;2),"",IF(L228=0,"",(K228-L228)/L228))</f>
        <v/>
      </c>
      <c r="N228" s="13" t="str">
        <f aca="false">IF(B228="","",IF(J228&lt;2,"Needs 2+ trade sources",IF(M228&gt;Lists!$E$2,"CHECK","OK")))</f>
        <v/>
      </c>
      <c r="O228" s="9" t="str">
        <f aca="false">IF(B228="","",IF(J228&lt;2,"Needs 2+ trade sources",IF(M228&lt;=Lists!$E$6,"Good",IF(M228&lt;=Lists!$E$2,"Moderate","Bad"))))</f>
        <v/>
      </c>
    </row>
    <row r="229" customFormat="false" ht="14.25" hidden="false" customHeight="true" outlineLevel="0" collapsed="false">
      <c r="A229" s="6"/>
      <c r="B229" s="7"/>
      <c r="C229" s="8"/>
      <c r="D229" s="9" t="str">
        <f aca="false">IF(OR(B229="",C229=""),"",IFERROR(C229-INDEX(Films!$C$2:$C$100,MATCH(B229,Films!$A$2:$A$100,0))+1,""))</f>
        <v/>
      </c>
      <c r="E229" s="10"/>
      <c r="F229" s="7"/>
      <c r="G229" s="7"/>
      <c r="H229" s="7"/>
      <c r="I229" s="7"/>
      <c r="J229" s="9" t="str">
        <f aca="false">IF(B229="","",COUNTIFS($B$2:$B$500,B229,$C$2:$C$500,C229,$F$2:$F$500,F229,$H$2:$H$500,"Trade estimate"))</f>
        <v/>
      </c>
      <c r="K229" s="11" t="str">
        <f aca="false">IF(OR(J229="",J229=0),"",_xlfn.MAXIFS($E$2:$E$500,$B$2:$B$500,B229,$C$2:$C$500,C229,$F$2:$F$500,F229,$H$2:$H$500,"Trade estimate"))</f>
        <v/>
      </c>
      <c r="L229" s="11" t="str">
        <f aca="false">IF(OR(J229="",J229=0),"",_xlfn.MINIFS($E$2:$E$500,$B$2:$B$500,B229,$C$2:$C$500,C229,$F$2:$F$500,F229,$H$2:$H$500,"Trade estimate"))</f>
        <v/>
      </c>
      <c r="M229" s="12" t="str">
        <f aca="false">IF(OR(J229="",J229&lt;2),"",IF(L229=0,"",(K229-L229)/L229))</f>
        <v/>
      </c>
      <c r="N229" s="13" t="str">
        <f aca="false">IF(B229="","",IF(J229&lt;2,"Needs 2+ trade sources",IF(M229&gt;Lists!$E$2,"CHECK","OK")))</f>
        <v/>
      </c>
      <c r="O229" s="9" t="str">
        <f aca="false">IF(B229="","",IF(J229&lt;2,"Needs 2+ trade sources",IF(M229&lt;=Lists!$E$6,"Good",IF(M229&lt;=Lists!$E$2,"Moderate","Bad"))))</f>
        <v/>
      </c>
    </row>
    <row r="230" customFormat="false" ht="14.25" hidden="false" customHeight="true" outlineLevel="0" collapsed="false">
      <c r="A230" s="6"/>
      <c r="B230" s="7"/>
      <c r="C230" s="8"/>
      <c r="D230" s="9" t="str">
        <f aca="false">IF(OR(B230="",C230=""),"",IFERROR(C230-INDEX(Films!$C$2:$C$100,MATCH(B230,Films!$A$2:$A$100,0))+1,""))</f>
        <v/>
      </c>
      <c r="E230" s="10"/>
      <c r="F230" s="7"/>
      <c r="G230" s="7"/>
      <c r="H230" s="7"/>
      <c r="I230" s="7"/>
      <c r="J230" s="9" t="str">
        <f aca="false">IF(B230="","",COUNTIFS($B$2:$B$500,B230,$C$2:$C$500,C230,$F$2:$F$500,F230,$H$2:$H$500,"Trade estimate"))</f>
        <v/>
      </c>
      <c r="K230" s="11" t="str">
        <f aca="false">IF(OR(J230="",J230=0),"",_xlfn.MAXIFS($E$2:$E$500,$B$2:$B$500,B230,$C$2:$C$500,C230,$F$2:$F$500,F230,$H$2:$H$500,"Trade estimate"))</f>
        <v/>
      </c>
      <c r="L230" s="11" t="str">
        <f aca="false">IF(OR(J230="",J230=0),"",_xlfn.MINIFS($E$2:$E$500,$B$2:$B$500,B230,$C$2:$C$500,C230,$F$2:$F$500,F230,$H$2:$H$500,"Trade estimate"))</f>
        <v/>
      </c>
      <c r="M230" s="12" t="str">
        <f aca="false">IF(OR(J230="",J230&lt;2),"",IF(L230=0,"",(K230-L230)/L230))</f>
        <v/>
      </c>
      <c r="N230" s="13" t="str">
        <f aca="false">IF(B230="","",IF(J230&lt;2,"Needs 2+ trade sources",IF(M230&gt;Lists!$E$2,"CHECK","OK")))</f>
        <v/>
      </c>
      <c r="O230" s="9" t="str">
        <f aca="false">IF(B230="","",IF(J230&lt;2,"Needs 2+ trade sources",IF(M230&lt;=Lists!$E$6,"Good",IF(M230&lt;=Lists!$E$2,"Moderate","Bad"))))</f>
        <v/>
      </c>
    </row>
    <row r="231" customFormat="false" ht="14.25" hidden="false" customHeight="true" outlineLevel="0" collapsed="false">
      <c r="A231" s="6"/>
      <c r="B231" s="7"/>
      <c r="C231" s="8"/>
      <c r="D231" s="9" t="str">
        <f aca="false">IF(OR(B231="",C231=""),"",IFERROR(C231-INDEX(Films!$C$2:$C$100,MATCH(B231,Films!$A$2:$A$100,0))+1,""))</f>
        <v/>
      </c>
      <c r="E231" s="10"/>
      <c r="F231" s="7"/>
      <c r="G231" s="7"/>
      <c r="H231" s="7"/>
      <c r="I231" s="7"/>
      <c r="J231" s="9" t="str">
        <f aca="false">IF(B231="","",COUNTIFS($B$2:$B$500,B231,$C$2:$C$500,C231,$F$2:$F$500,F231,$H$2:$H$500,"Trade estimate"))</f>
        <v/>
      </c>
      <c r="K231" s="11" t="str">
        <f aca="false">IF(OR(J231="",J231=0),"",_xlfn.MAXIFS($E$2:$E$500,$B$2:$B$500,B231,$C$2:$C$500,C231,$F$2:$F$500,F231,$H$2:$H$500,"Trade estimate"))</f>
        <v/>
      </c>
      <c r="L231" s="11" t="str">
        <f aca="false">IF(OR(J231="",J231=0),"",_xlfn.MINIFS($E$2:$E$500,$B$2:$B$500,B231,$C$2:$C$500,C231,$F$2:$F$500,F231,$H$2:$H$500,"Trade estimate"))</f>
        <v/>
      </c>
      <c r="M231" s="12" t="str">
        <f aca="false">IF(OR(J231="",J231&lt;2),"",IF(L231=0,"",(K231-L231)/L231))</f>
        <v/>
      </c>
      <c r="N231" s="13" t="str">
        <f aca="false">IF(B231="","",IF(J231&lt;2,"Needs 2+ trade sources",IF(M231&gt;Lists!$E$2,"CHECK","OK")))</f>
        <v/>
      </c>
      <c r="O231" s="9" t="str">
        <f aca="false">IF(B231="","",IF(J231&lt;2,"Needs 2+ trade sources",IF(M231&lt;=Lists!$E$6,"Good",IF(M231&lt;=Lists!$E$2,"Moderate","Bad"))))</f>
        <v/>
      </c>
    </row>
    <row r="232" customFormat="false" ht="14.25" hidden="false" customHeight="true" outlineLevel="0" collapsed="false">
      <c r="A232" s="6"/>
      <c r="B232" s="7"/>
      <c r="C232" s="8"/>
      <c r="D232" s="9" t="str">
        <f aca="false">IF(OR(B232="",C232=""),"",IFERROR(C232-INDEX(Films!$C$2:$C$100,MATCH(B232,Films!$A$2:$A$100,0))+1,""))</f>
        <v/>
      </c>
      <c r="E232" s="10"/>
      <c r="F232" s="7"/>
      <c r="G232" s="7"/>
      <c r="H232" s="7"/>
      <c r="I232" s="7"/>
      <c r="J232" s="9" t="str">
        <f aca="false">IF(B232="","",COUNTIFS($B$2:$B$500,B232,$C$2:$C$500,C232,$F$2:$F$500,F232,$H$2:$H$500,"Trade estimate"))</f>
        <v/>
      </c>
      <c r="K232" s="11" t="str">
        <f aca="false">IF(OR(J232="",J232=0),"",_xlfn.MAXIFS($E$2:$E$500,$B$2:$B$500,B232,$C$2:$C$500,C232,$F$2:$F$500,F232,$H$2:$H$500,"Trade estimate"))</f>
        <v/>
      </c>
      <c r="L232" s="11" t="str">
        <f aca="false">IF(OR(J232="",J232=0),"",_xlfn.MINIFS($E$2:$E$500,$B$2:$B$500,B232,$C$2:$C$500,C232,$F$2:$F$500,F232,$H$2:$H$500,"Trade estimate"))</f>
        <v/>
      </c>
      <c r="M232" s="12" t="str">
        <f aca="false">IF(OR(J232="",J232&lt;2),"",IF(L232=0,"",(K232-L232)/L232))</f>
        <v/>
      </c>
      <c r="N232" s="13" t="str">
        <f aca="false">IF(B232="","",IF(J232&lt;2,"Needs 2+ trade sources",IF(M232&gt;Lists!$E$2,"CHECK","OK")))</f>
        <v/>
      </c>
      <c r="O232" s="9" t="str">
        <f aca="false">IF(B232="","",IF(J232&lt;2,"Needs 2+ trade sources",IF(M232&lt;=Lists!$E$6,"Good",IF(M232&lt;=Lists!$E$2,"Moderate","Bad"))))</f>
        <v/>
      </c>
    </row>
    <row r="233" customFormat="false" ht="14.25" hidden="false" customHeight="true" outlineLevel="0" collapsed="false">
      <c r="A233" s="6"/>
      <c r="B233" s="7"/>
      <c r="C233" s="8"/>
      <c r="D233" s="9" t="str">
        <f aca="false">IF(OR(B233="",C233=""),"",IFERROR(C233-INDEX(Films!$C$2:$C$100,MATCH(B233,Films!$A$2:$A$100,0))+1,""))</f>
        <v/>
      </c>
      <c r="E233" s="10"/>
      <c r="F233" s="7"/>
      <c r="G233" s="7"/>
      <c r="H233" s="7"/>
      <c r="I233" s="7"/>
      <c r="J233" s="9" t="str">
        <f aca="false">IF(B233="","",COUNTIFS($B$2:$B$500,B233,$C$2:$C$500,C233,$F$2:$F$500,F233,$H$2:$H$500,"Trade estimate"))</f>
        <v/>
      </c>
      <c r="K233" s="11" t="str">
        <f aca="false">IF(OR(J233="",J233=0),"",_xlfn.MAXIFS($E$2:$E$500,$B$2:$B$500,B233,$C$2:$C$500,C233,$F$2:$F$500,F233,$H$2:$H$500,"Trade estimate"))</f>
        <v/>
      </c>
      <c r="L233" s="11" t="str">
        <f aca="false">IF(OR(J233="",J233=0),"",_xlfn.MINIFS($E$2:$E$500,$B$2:$B$500,B233,$C$2:$C$500,C233,$F$2:$F$500,F233,$H$2:$H$500,"Trade estimate"))</f>
        <v/>
      </c>
      <c r="M233" s="12" t="str">
        <f aca="false">IF(OR(J233="",J233&lt;2),"",IF(L233=0,"",(K233-L233)/L233))</f>
        <v/>
      </c>
      <c r="N233" s="13" t="str">
        <f aca="false">IF(B233="","",IF(J233&lt;2,"Needs 2+ trade sources",IF(M233&gt;Lists!$E$2,"CHECK","OK")))</f>
        <v/>
      </c>
      <c r="O233" s="9" t="str">
        <f aca="false">IF(B233="","",IF(J233&lt;2,"Needs 2+ trade sources",IF(M233&lt;=Lists!$E$6,"Good",IF(M233&lt;=Lists!$E$2,"Moderate","Bad"))))</f>
        <v/>
      </c>
    </row>
    <row r="234" customFormat="false" ht="14.25" hidden="false" customHeight="true" outlineLevel="0" collapsed="false">
      <c r="A234" s="6"/>
      <c r="B234" s="7"/>
      <c r="C234" s="8"/>
      <c r="D234" s="9" t="str">
        <f aca="false">IF(OR(B234="",C234=""),"",IFERROR(C234-INDEX(Films!$C$2:$C$100,MATCH(B234,Films!$A$2:$A$100,0))+1,""))</f>
        <v/>
      </c>
      <c r="E234" s="10"/>
      <c r="F234" s="7"/>
      <c r="G234" s="7"/>
      <c r="H234" s="7"/>
      <c r="I234" s="7"/>
      <c r="J234" s="9" t="str">
        <f aca="false">IF(B234="","",COUNTIFS($B$2:$B$500,B234,$C$2:$C$500,C234,$F$2:$F$500,F234,$H$2:$H$500,"Trade estimate"))</f>
        <v/>
      </c>
      <c r="K234" s="11" t="str">
        <f aca="false">IF(OR(J234="",J234=0),"",_xlfn.MAXIFS($E$2:$E$500,$B$2:$B$500,B234,$C$2:$C$500,C234,$F$2:$F$500,F234,$H$2:$H$500,"Trade estimate"))</f>
        <v/>
      </c>
      <c r="L234" s="11" t="str">
        <f aca="false">IF(OR(J234="",J234=0),"",_xlfn.MINIFS($E$2:$E$500,$B$2:$B$500,B234,$C$2:$C$500,C234,$F$2:$F$500,F234,$H$2:$H$500,"Trade estimate"))</f>
        <v/>
      </c>
      <c r="M234" s="12" t="str">
        <f aca="false">IF(OR(J234="",J234&lt;2),"",IF(L234=0,"",(K234-L234)/L234))</f>
        <v/>
      </c>
      <c r="N234" s="13" t="str">
        <f aca="false">IF(B234="","",IF(J234&lt;2,"Needs 2+ trade sources",IF(M234&gt;Lists!$E$2,"CHECK","OK")))</f>
        <v/>
      </c>
      <c r="O234" s="9" t="str">
        <f aca="false">IF(B234="","",IF(J234&lt;2,"Needs 2+ trade sources",IF(M234&lt;=Lists!$E$6,"Good",IF(M234&lt;=Lists!$E$2,"Moderate","Bad"))))</f>
        <v/>
      </c>
    </row>
    <row r="235" customFormat="false" ht="14.25" hidden="false" customHeight="true" outlineLevel="0" collapsed="false">
      <c r="A235" s="6"/>
      <c r="B235" s="7"/>
      <c r="C235" s="8"/>
      <c r="D235" s="9" t="str">
        <f aca="false">IF(OR(B235="",C235=""),"",IFERROR(C235-INDEX(Films!$C$2:$C$100,MATCH(B235,Films!$A$2:$A$100,0))+1,""))</f>
        <v/>
      </c>
      <c r="E235" s="10"/>
      <c r="F235" s="7"/>
      <c r="G235" s="7"/>
      <c r="H235" s="7"/>
      <c r="I235" s="7"/>
      <c r="J235" s="9" t="str">
        <f aca="false">IF(B235="","",COUNTIFS($B$2:$B$500,B235,$C$2:$C$500,C235,$F$2:$F$500,F235,$H$2:$H$500,"Trade estimate"))</f>
        <v/>
      </c>
      <c r="K235" s="11" t="str">
        <f aca="false">IF(OR(J235="",J235=0),"",_xlfn.MAXIFS($E$2:$E$500,$B$2:$B$500,B235,$C$2:$C$500,C235,$F$2:$F$500,F235,$H$2:$H$500,"Trade estimate"))</f>
        <v/>
      </c>
      <c r="L235" s="11" t="str">
        <f aca="false">IF(OR(J235="",J235=0),"",_xlfn.MINIFS($E$2:$E$500,$B$2:$B$500,B235,$C$2:$C$500,C235,$F$2:$F$500,F235,$H$2:$H$500,"Trade estimate"))</f>
        <v/>
      </c>
      <c r="M235" s="12" t="str">
        <f aca="false">IF(OR(J235="",J235&lt;2),"",IF(L235=0,"",(K235-L235)/L235))</f>
        <v/>
      </c>
      <c r="N235" s="13" t="str">
        <f aca="false">IF(B235="","",IF(J235&lt;2,"Needs 2+ trade sources",IF(M235&gt;Lists!$E$2,"CHECK","OK")))</f>
        <v/>
      </c>
      <c r="O235" s="9" t="str">
        <f aca="false">IF(B235="","",IF(J235&lt;2,"Needs 2+ trade sources",IF(M235&lt;=Lists!$E$6,"Good",IF(M235&lt;=Lists!$E$2,"Moderate","Bad"))))</f>
        <v/>
      </c>
    </row>
    <row r="236" customFormat="false" ht="14.25" hidden="false" customHeight="true" outlineLevel="0" collapsed="false">
      <c r="A236" s="6"/>
      <c r="B236" s="7"/>
      <c r="C236" s="8"/>
      <c r="D236" s="9" t="str">
        <f aca="false">IF(OR(B236="",C236=""),"",IFERROR(C236-INDEX(Films!$C$2:$C$100,MATCH(B236,Films!$A$2:$A$100,0))+1,""))</f>
        <v/>
      </c>
      <c r="E236" s="10"/>
      <c r="F236" s="7"/>
      <c r="G236" s="7"/>
      <c r="H236" s="7"/>
      <c r="I236" s="7"/>
      <c r="J236" s="9" t="str">
        <f aca="false">IF(B236="","",COUNTIFS($B$2:$B$500,B236,$C$2:$C$500,C236,$F$2:$F$500,F236,$H$2:$H$500,"Trade estimate"))</f>
        <v/>
      </c>
      <c r="K236" s="11" t="str">
        <f aca="false">IF(OR(J236="",J236=0),"",_xlfn.MAXIFS($E$2:$E$500,$B$2:$B$500,B236,$C$2:$C$500,C236,$F$2:$F$500,F236,$H$2:$H$500,"Trade estimate"))</f>
        <v/>
      </c>
      <c r="L236" s="11" t="str">
        <f aca="false">IF(OR(J236="",J236=0),"",_xlfn.MINIFS($E$2:$E$500,$B$2:$B$500,B236,$C$2:$C$500,C236,$F$2:$F$500,F236,$H$2:$H$500,"Trade estimate"))</f>
        <v/>
      </c>
      <c r="M236" s="12" t="str">
        <f aca="false">IF(OR(J236="",J236&lt;2),"",IF(L236=0,"",(K236-L236)/L236))</f>
        <v/>
      </c>
      <c r="N236" s="13" t="str">
        <f aca="false">IF(B236="","",IF(J236&lt;2,"Needs 2+ trade sources",IF(M236&gt;Lists!$E$2,"CHECK","OK")))</f>
        <v/>
      </c>
      <c r="O236" s="9" t="str">
        <f aca="false">IF(B236="","",IF(J236&lt;2,"Needs 2+ trade sources",IF(M236&lt;=Lists!$E$6,"Good",IF(M236&lt;=Lists!$E$2,"Moderate","Bad"))))</f>
        <v/>
      </c>
    </row>
    <row r="237" customFormat="false" ht="14.25" hidden="false" customHeight="true" outlineLevel="0" collapsed="false">
      <c r="A237" s="6"/>
      <c r="B237" s="7"/>
      <c r="C237" s="8"/>
      <c r="D237" s="9" t="str">
        <f aca="false">IF(OR(B237="",C237=""),"",IFERROR(C237-INDEX(Films!$C$2:$C$100,MATCH(B237,Films!$A$2:$A$100,0))+1,""))</f>
        <v/>
      </c>
      <c r="E237" s="10"/>
      <c r="F237" s="7"/>
      <c r="G237" s="7"/>
      <c r="H237" s="7"/>
      <c r="I237" s="7"/>
      <c r="J237" s="9" t="str">
        <f aca="false">IF(B237="","",COUNTIFS($B$2:$B$500,B237,$C$2:$C$500,C237,$F$2:$F$500,F237,$H$2:$H$500,"Trade estimate"))</f>
        <v/>
      </c>
      <c r="K237" s="11" t="str">
        <f aca="false">IF(OR(J237="",J237=0),"",_xlfn.MAXIFS($E$2:$E$500,$B$2:$B$500,B237,$C$2:$C$500,C237,$F$2:$F$500,F237,$H$2:$H$500,"Trade estimate"))</f>
        <v/>
      </c>
      <c r="L237" s="11" t="str">
        <f aca="false">IF(OR(J237="",J237=0),"",_xlfn.MINIFS($E$2:$E$500,$B$2:$B$500,B237,$C$2:$C$500,C237,$F$2:$F$500,F237,$H$2:$H$500,"Trade estimate"))</f>
        <v/>
      </c>
      <c r="M237" s="12" t="str">
        <f aca="false">IF(OR(J237="",J237&lt;2),"",IF(L237=0,"",(K237-L237)/L237))</f>
        <v/>
      </c>
      <c r="N237" s="13" t="str">
        <f aca="false">IF(B237="","",IF(J237&lt;2,"Needs 2+ trade sources",IF(M237&gt;Lists!$E$2,"CHECK","OK")))</f>
        <v/>
      </c>
      <c r="O237" s="9" t="str">
        <f aca="false">IF(B237="","",IF(J237&lt;2,"Needs 2+ trade sources",IF(M237&lt;=Lists!$E$6,"Good",IF(M237&lt;=Lists!$E$2,"Moderate","Bad"))))</f>
        <v/>
      </c>
    </row>
    <row r="238" customFormat="false" ht="14.25" hidden="false" customHeight="true" outlineLevel="0" collapsed="false">
      <c r="A238" s="6"/>
      <c r="B238" s="7"/>
      <c r="C238" s="8"/>
      <c r="D238" s="9" t="str">
        <f aca="false">IF(OR(B238="",C238=""),"",IFERROR(C238-INDEX(Films!$C$2:$C$100,MATCH(B238,Films!$A$2:$A$100,0))+1,""))</f>
        <v/>
      </c>
      <c r="E238" s="10"/>
      <c r="F238" s="7"/>
      <c r="G238" s="7"/>
      <c r="H238" s="7"/>
      <c r="I238" s="7"/>
      <c r="J238" s="9" t="str">
        <f aca="false">IF(B238="","",COUNTIFS($B$2:$B$500,B238,$C$2:$C$500,C238,$F$2:$F$500,F238,$H$2:$H$500,"Trade estimate"))</f>
        <v/>
      </c>
      <c r="K238" s="11" t="str">
        <f aca="false">IF(OR(J238="",J238=0),"",_xlfn.MAXIFS($E$2:$E$500,$B$2:$B$500,B238,$C$2:$C$500,C238,$F$2:$F$500,F238,$H$2:$H$500,"Trade estimate"))</f>
        <v/>
      </c>
      <c r="L238" s="11" t="str">
        <f aca="false">IF(OR(J238="",J238=0),"",_xlfn.MINIFS($E$2:$E$500,$B$2:$B$500,B238,$C$2:$C$500,C238,$F$2:$F$500,F238,$H$2:$H$500,"Trade estimate"))</f>
        <v/>
      </c>
      <c r="M238" s="12" t="str">
        <f aca="false">IF(OR(J238="",J238&lt;2),"",IF(L238=0,"",(K238-L238)/L238))</f>
        <v/>
      </c>
      <c r="N238" s="13" t="str">
        <f aca="false">IF(B238="","",IF(J238&lt;2,"Needs 2+ trade sources",IF(M238&gt;Lists!$E$2,"CHECK","OK")))</f>
        <v/>
      </c>
      <c r="O238" s="9" t="str">
        <f aca="false">IF(B238="","",IF(J238&lt;2,"Needs 2+ trade sources",IF(M238&lt;=Lists!$E$6,"Good",IF(M238&lt;=Lists!$E$2,"Moderate","Bad"))))</f>
        <v/>
      </c>
    </row>
    <row r="239" customFormat="false" ht="14.25" hidden="false" customHeight="true" outlineLevel="0" collapsed="false">
      <c r="A239" s="6"/>
      <c r="B239" s="7"/>
      <c r="C239" s="8"/>
      <c r="D239" s="9" t="str">
        <f aca="false">IF(OR(B239="",C239=""),"",IFERROR(C239-INDEX(Films!$C$2:$C$100,MATCH(B239,Films!$A$2:$A$100,0))+1,""))</f>
        <v/>
      </c>
      <c r="E239" s="10"/>
      <c r="F239" s="7"/>
      <c r="G239" s="7"/>
      <c r="H239" s="7"/>
      <c r="I239" s="7"/>
      <c r="J239" s="9" t="str">
        <f aca="false">IF(B239="","",COUNTIFS($B$2:$B$500,B239,$C$2:$C$500,C239,$F$2:$F$500,F239,$H$2:$H$500,"Trade estimate"))</f>
        <v/>
      </c>
      <c r="K239" s="11" t="str">
        <f aca="false">IF(OR(J239="",J239=0),"",_xlfn.MAXIFS($E$2:$E$500,$B$2:$B$500,B239,$C$2:$C$500,C239,$F$2:$F$500,F239,$H$2:$H$500,"Trade estimate"))</f>
        <v/>
      </c>
      <c r="L239" s="11" t="str">
        <f aca="false">IF(OR(J239="",J239=0),"",_xlfn.MINIFS($E$2:$E$500,$B$2:$B$500,B239,$C$2:$C$500,C239,$F$2:$F$500,F239,$H$2:$H$500,"Trade estimate"))</f>
        <v/>
      </c>
      <c r="M239" s="12" t="str">
        <f aca="false">IF(OR(J239="",J239&lt;2),"",IF(L239=0,"",(K239-L239)/L239))</f>
        <v/>
      </c>
      <c r="N239" s="13" t="str">
        <f aca="false">IF(B239="","",IF(J239&lt;2,"Needs 2+ trade sources",IF(M239&gt;Lists!$E$2,"CHECK","OK")))</f>
        <v/>
      </c>
      <c r="O239" s="9" t="str">
        <f aca="false">IF(B239="","",IF(J239&lt;2,"Needs 2+ trade sources",IF(M239&lt;=Lists!$E$6,"Good",IF(M239&lt;=Lists!$E$2,"Moderate","Bad"))))</f>
        <v/>
      </c>
    </row>
    <row r="240" customFormat="false" ht="14.25" hidden="false" customHeight="true" outlineLevel="0" collapsed="false">
      <c r="A240" s="6"/>
      <c r="B240" s="7"/>
      <c r="C240" s="8"/>
      <c r="D240" s="9" t="str">
        <f aca="false">IF(OR(B240="",C240=""),"",IFERROR(C240-INDEX(Films!$C$2:$C$100,MATCH(B240,Films!$A$2:$A$100,0))+1,""))</f>
        <v/>
      </c>
      <c r="E240" s="10"/>
      <c r="F240" s="7"/>
      <c r="G240" s="7"/>
      <c r="H240" s="7"/>
      <c r="I240" s="7"/>
      <c r="J240" s="9" t="str">
        <f aca="false">IF(B240="","",COUNTIFS($B$2:$B$500,B240,$C$2:$C$500,C240,$F$2:$F$500,F240,$H$2:$H$500,"Trade estimate"))</f>
        <v/>
      </c>
      <c r="K240" s="11" t="str">
        <f aca="false">IF(OR(J240="",J240=0),"",_xlfn.MAXIFS($E$2:$E$500,$B$2:$B$500,B240,$C$2:$C$500,C240,$F$2:$F$500,F240,$H$2:$H$500,"Trade estimate"))</f>
        <v/>
      </c>
      <c r="L240" s="11" t="str">
        <f aca="false">IF(OR(J240="",J240=0),"",_xlfn.MINIFS($E$2:$E$500,$B$2:$B$500,B240,$C$2:$C$500,C240,$F$2:$F$500,F240,$H$2:$H$500,"Trade estimate"))</f>
        <v/>
      </c>
      <c r="M240" s="12" t="str">
        <f aca="false">IF(OR(J240="",J240&lt;2),"",IF(L240=0,"",(K240-L240)/L240))</f>
        <v/>
      </c>
      <c r="N240" s="13" t="str">
        <f aca="false">IF(B240="","",IF(J240&lt;2,"Needs 2+ trade sources",IF(M240&gt;Lists!$E$2,"CHECK","OK")))</f>
        <v/>
      </c>
      <c r="O240" s="9" t="str">
        <f aca="false">IF(B240="","",IF(J240&lt;2,"Needs 2+ trade sources",IF(M240&lt;=Lists!$E$6,"Good",IF(M240&lt;=Lists!$E$2,"Moderate","Bad"))))</f>
        <v/>
      </c>
    </row>
    <row r="241" customFormat="false" ht="14.25" hidden="false" customHeight="true" outlineLevel="0" collapsed="false">
      <c r="A241" s="6"/>
      <c r="B241" s="7"/>
      <c r="C241" s="8"/>
      <c r="D241" s="9" t="str">
        <f aca="false">IF(OR(B241="",C241=""),"",IFERROR(C241-INDEX(Films!$C$2:$C$100,MATCH(B241,Films!$A$2:$A$100,0))+1,""))</f>
        <v/>
      </c>
      <c r="E241" s="10"/>
      <c r="F241" s="7"/>
      <c r="G241" s="7"/>
      <c r="H241" s="7"/>
      <c r="I241" s="7"/>
      <c r="J241" s="9" t="str">
        <f aca="false">IF(B241="","",COUNTIFS($B$2:$B$500,B241,$C$2:$C$500,C241,$F$2:$F$500,F241,$H$2:$H$500,"Trade estimate"))</f>
        <v/>
      </c>
      <c r="K241" s="11" t="str">
        <f aca="false">IF(OR(J241="",J241=0),"",_xlfn.MAXIFS($E$2:$E$500,$B$2:$B$500,B241,$C$2:$C$500,C241,$F$2:$F$500,F241,$H$2:$H$500,"Trade estimate"))</f>
        <v/>
      </c>
      <c r="L241" s="11" t="str">
        <f aca="false">IF(OR(J241="",J241=0),"",_xlfn.MINIFS($E$2:$E$500,$B$2:$B$500,B241,$C$2:$C$500,C241,$F$2:$F$500,F241,$H$2:$H$500,"Trade estimate"))</f>
        <v/>
      </c>
      <c r="M241" s="12" t="str">
        <f aca="false">IF(OR(J241="",J241&lt;2),"",IF(L241=0,"",(K241-L241)/L241))</f>
        <v/>
      </c>
      <c r="N241" s="13" t="str">
        <f aca="false">IF(B241="","",IF(J241&lt;2,"Needs 2+ trade sources",IF(M241&gt;Lists!$E$2,"CHECK","OK")))</f>
        <v/>
      </c>
      <c r="O241" s="9" t="str">
        <f aca="false">IF(B241="","",IF(J241&lt;2,"Needs 2+ trade sources",IF(M241&lt;=Lists!$E$6,"Good",IF(M241&lt;=Lists!$E$2,"Moderate","Bad"))))</f>
        <v/>
      </c>
    </row>
    <row r="242" customFormat="false" ht="14.25" hidden="false" customHeight="true" outlineLevel="0" collapsed="false">
      <c r="A242" s="6"/>
      <c r="B242" s="7"/>
      <c r="C242" s="8"/>
      <c r="D242" s="9" t="str">
        <f aca="false">IF(OR(B242="",C242=""),"",IFERROR(C242-INDEX(Films!$C$2:$C$100,MATCH(B242,Films!$A$2:$A$100,0))+1,""))</f>
        <v/>
      </c>
      <c r="E242" s="10"/>
      <c r="F242" s="7"/>
      <c r="G242" s="7"/>
      <c r="H242" s="7"/>
      <c r="I242" s="7"/>
      <c r="J242" s="9" t="str">
        <f aca="false">IF(B242="","",COUNTIFS($B$2:$B$500,B242,$C$2:$C$500,C242,$F$2:$F$500,F242,$H$2:$H$500,"Trade estimate"))</f>
        <v/>
      </c>
      <c r="K242" s="11" t="str">
        <f aca="false">IF(OR(J242="",J242=0),"",_xlfn.MAXIFS($E$2:$E$500,$B$2:$B$500,B242,$C$2:$C$500,C242,$F$2:$F$500,F242,$H$2:$H$500,"Trade estimate"))</f>
        <v/>
      </c>
      <c r="L242" s="11" t="str">
        <f aca="false">IF(OR(J242="",J242=0),"",_xlfn.MINIFS($E$2:$E$500,$B$2:$B$500,B242,$C$2:$C$500,C242,$F$2:$F$500,F242,$H$2:$H$500,"Trade estimate"))</f>
        <v/>
      </c>
      <c r="M242" s="12" t="str">
        <f aca="false">IF(OR(J242="",J242&lt;2),"",IF(L242=0,"",(K242-L242)/L242))</f>
        <v/>
      </c>
      <c r="N242" s="13" t="str">
        <f aca="false">IF(B242="","",IF(J242&lt;2,"Needs 2+ trade sources",IF(M242&gt;Lists!$E$2,"CHECK","OK")))</f>
        <v/>
      </c>
      <c r="O242" s="9" t="str">
        <f aca="false">IF(B242="","",IF(J242&lt;2,"Needs 2+ trade sources",IF(M242&lt;=Lists!$E$6,"Good",IF(M242&lt;=Lists!$E$2,"Moderate","Bad"))))</f>
        <v/>
      </c>
    </row>
    <row r="243" customFormat="false" ht="14.25" hidden="false" customHeight="true" outlineLevel="0" collapsed="false">
      <c r="A243" s="6"/>
      <c r="B243" s="7"/>
      <c r="C243" s="8"/>
      <c r="D243" s="9" t="str">
        <f aca="false">IF(OR(B243="",C243=""),"",IFERROR(C243-INDEX(Films!$C$2:$C$100,MATCH(B243,Films!$A$2:$A$100,0))+1,""))</f>
        <v/>
      </c>
      <c r="E243" s="10"/>
      <c r="F243" s="7"/>
      <c r="G243" s="7"/>
      <c r="H243" s="7"/>
      <c r="I243" s="7"/>
      <c r="J243" s="9" t="str">
        <f aca="false">IF(B243="","",COUNTIFS($B$2:$B$500,B243,$C$2:$C$500,C243,$F$2:$F$500,F243,$H$2:$H$500,"Trade estimate"))</f>
        <v/>
      </c>
      <c r="K243" s="11" t="str">
        <f aca="false">IF(OR(J243="",J243=0),"",_xlfn.MAXIFS($E$2:$E$500,$B$2:$B$500,B243,$C$2:$C$500,C243,$F$2:$F$500,F243,$H$2:$H$500,"Trade estimate"))</f>
        <v/>
      </c>
      <c r="L243" s="11" t="str">
        <f aca="false">IF(OR(J243="",J243=0),"",_xlfn.MINIFS($E$2:$E$500,$B$2:$B$500,B243,$C$2:$C$500,C243,$F$2:$F$500,F243,$H$2:$H$500,"Trade estimate"))</f>
        <v/>
      </c>
      <c r="M243" s="12" t="str">
        <f aca="false">IF(OR(J243="",J243&lt;2),"",IF(L243=0,"",(K243-L243)/L243))</f>
        <v/>
      </c>
      <c r="N243" s="13" t="str">
        <f aca="false">IF(B243="","",IF(J243&lt;2,"Needs 2+ trade sources",IF(M243&gt;Lists!$E$2,"CHECK","OK")))</f>
        <v/>
      </c>
      <c r="O243" s="9" t="str">
        <f aca="false">IF(B243="","",IF(J243&lt;2,"Needs 2+ trade sources",IF(M243&lt;=Lists!$E$6,"Good",IF(M243&lt;=Lists!$E$2,"Moderate","Bad"))))</f>
        <v/>
      </c>
    </row>
    <row r="244" customFormat="false" ht="14.25" hidden="false" customHeight="true" outlineLevel="0" collapsed="false">
      <c r="A244" s="6"/>
      <c r="B244" s="7"/>
      <c r="C244" s="8"/>
      <c r="D244" s="9" t="str">
        <f aca="false">IF(OR(B244="",C244=""),"",IFERROR(C244-INDEX(Films!$C$2:$C$100,MATCH(B244,Films!$A$2:$A$100,0))+1,""))</f>
        <v/>
      </c>
      <c r="E244" s="10"/>
      <c r="F244" s="7"/>
      <c r="G244" s="7"/>
      <c r="H244" s="7"/>
      <c r="I244" s="7"/>
      <c r="J244" s="9" t="str">
        <f aca="false">IF(B244="","",COUNTIFS($B$2:$B$500,B244,$C$2:$C$500,C244,$F$2:$F$500,F244,$H$2:$H$500,"Trade estimate"))</f>
        <v/>
      </c>
      <c r="K244" s="11" t="str">
        <f aca="false">IF(OR(J244="",J244=0),"",_xlfn.MAXIFS($E$2:$E$500,$B$2:$B$500,B244,$C$2:$C$500,C244,$F$2:$F$500,F244,$H$2:$H$500,"Trade estimate"))</f>
        <v/>
      </c>
      <c r="L244" s="11" t="str">
        <f aca="false">IF(OR(J244="",J244=0),"",_xlfn.MINIFS($E$2:$E$500,$B$2:$B$500,B244,$C$2:$C$500,C244,$F$2:$F$500,F244,$H$2:$H$500,"Trade estimate"))</f>
        <v/>
      </c>
      <c r="M244" s="12" t="str">
        <f aca="false">IF(OR(J244="",J244&lt;2),"",IF(L244=0,"",(K244-L244)/L244))</f>
        <v/>
      </c>
      <c r="N244" s="13" t="str">
        <f aca="false">IF(B244="","",IF(J244&lt;2,"Needs 2+ trade sources",IF(M244&gt;Lists!$E$2,"CHECK","OK")))</f>
        <v/>
      </c>
      <c r="O244" s="9" t="str">
        <f aca="false">IF(B244="","",IF(J244&lt;2,"Needs 2+ trade sources",IF(M244&lt;=Lists!$E$6,"Good",IF(M244&lt;=Lists!$E$2,"Moderate","Bad"))))</f>
        <v/>
      </c>
    </row>
    <row r="245" customFormat="false" ht="14.25" hidden="false" customHeight="true" outlineLevel="0" collapsed="false">
      <c r="A245" s="6"/>
      <c r="B245" s="7"/>
      <c r="C245" s="8"/>
      <c r="D245" s="9" t="str">
        <f aca="false">IF(OR(B245="",C245=""),"",IFERROR(C245-INDEX(Films!$C$2:$C$100,MATCH(B245,Films!$A$2:$A$100,0))+1,""))</f>
        <v/>
      </c>
      <c r="E245" s="10"/>
      <c r="F245" s="7"/>
      <c r="G245" s="7"/>
      <c r="H245" s="7"/>
      <c r="I245" s="7"/>
      <c r="J245" s="9" t="str">
        <f aca="false">IF(B245="","",COUNTIFS($B$2:$B$500,B245,$C$2:$C$500,C245,$F$2:$F$500,F245,$H$2:$H$500,"Trade estimate"))</f>
        <v/>
      </c>
      <c r="K245" s="11" t="str">
        <f aca="false">IF(OR(J245="",J245=0),"",_xlfn.MAXIFS($E$2:$E$500,$B$2:$B$500,B245,$C$2:$C$500,C245,$F$2:$F$500,F245,$H$2:$H$500,"Trade estimate"))</f>
        <v/>
      </c>
      <c r="L245" s="11" t="str">
        <f aca="false">IF(OR(J245="",J245=0),"",_xlfn.MINIFS($E$2:$E$500,$B$2:$B$500,B245,$C$2:$C$500,C245,$F$2:$F$500,F245,$H$2:$H$500,"Trade estimate"))</f>
        <v/>
      </c>
      <c r="M245" s="12" t="str">
        <f aca="false">IF(OR(J245="",J245&lt;2),"",IF(L245=0,"",(K245-L245)/L245))</f>
        <v/>
      </c>
      <c r="N245" s="13" t="str">
        <f aca="false">IF(B245="","",IF(J245&lt;2,"Needs 2+ trade sources",IF(M245&gt;Lists!$E$2,"CHECK","OK")))</f>
        <v/>
      </c>
      <c r="O245" s="9" t="str">
        <f aca="false">IF(B245="","",IF(J245&lt;2,"Needs 2+ trade sources",IF(M245&lt;=Lists!$E$6,"Good",IF(M245&lt;=Lists!$E$2,"Moderate","Bad"))))</f>
        <v/>
      </c>
    </row>
    <row r="246" customFormat="false" ht="14.25" hidden="false" customHeight="true" outlineLevel="0" collapsed="false">
      <c r="A246" s="6"/>
      <c r="B246" s="7"/>
      <c r="C246" s="8"/>
      <c r="D246" s="9" t="str">
        <f aca="false">IF(OR(B246="",C246=""),"",IFERROR(C246-INDEX(Films!$C$2:$C$100,MATCH(B246,Films!$A$2:$A$100,0))+1,""))</f>
        <v/>
      </c>
      <c r="E246" s="10"/>
      <c r="F246" s="7"/>
      <c r="G246" s="7"/>
      <c r="H246" s="7"/>
      <c r="I246" s="7"/>
      <c r="J246" s="9" t="str">
        <f aca="false">IF(B246="","",COUNTIFS($B$2:$B$500,B246,$C$2:$C$500,C246,$F$2:$F$500,F246,$H$2:$H$500,"Trade estimate"))</f>
        <v/>
      </c>
      <c r="K246" s="11" t="str">
        <f aca="false">IF(OR(J246="",J246=0),"",_xlfn.MAXIFS($E$2:$E$500,$B$2:$B$500,B246,$C$2:$C$500,C246,$F$2:$F$500,F246,$H$2:$H$500,"Trade estimate"))</f>
        <v/>
      </c>
      <c r="L246" s="11" t="str">
        <f aca="false">IF(OR(J246="",J246=0),"",_xlfn.MINIFS($E$2:$E$500,$B$2:$B$500,B246,$C$2:$C$500,C246,$F$2:$F$500,F246,$H$2:$H$500,"Trade estimate"))</f>
        <v/>
      </c>
      <c r="M246" s="12" t="str">
        <f aca="false">IF(OR(J246="",J246&lt;2),"",IF(L246=0,"",(K246-L246)/L246))</f>
        <v/>
      </c>
      <c r="N246" s="13" t="str">
        <f aca="false">IF(B246="","",IF(J246&lt;2,"Needs 2+ trade sources",IF(M246&gt;Lists!$E$2,"CHECK","OK")))</f>
        <v/>
      </c>
      <c r="O246" s="9" t="str">
        <f aca="false">IF(B246="","",IF(J246&lt;2,"Needs 2+ trade sources",IF(M246&lt;=Lists!$E$6,"Good",IF(M246&lt;=Lists!$E$2,"Moderate","Bad"))))</f>
        <v/>
      </c>
    </row>
    <row r="247" customFormat="false" ht="14.25" hidden="false" customHeight="true" outlineLevel="0" collapsed="false">
      <c r="A247" s="6"/>
      <c r="B247" s="7"/>
      <c r="C247" s="8"/>
      <c r="D247" s="9" t="str">
        <f aca="false">IF(OR(B247="",C247=""),"",IFERROR(C247-INDEX(Films!$C$2:$C$100,MATCH(B247,Films!$A$2:$A$100,0))+1,""))</f>
        <v/>
      </c>
      <c r="E247" s="10"/>
      <c r="F247" s="7"/>
      <c r="G247" s="7"/>
      <c r="H247" s="7"/>
      <c r="I247" s="7"/>
      <c r="J247" s="9" t="str">
        <f aca="false">IF(B247="","",COUNTIFS($B$2:$B$500,B247,$C$2:$C$500,C247,$F$2:$F$500,F247,$H$2:$H$500,"Trade estimate"))</f>
        <v/>
      </c>
      <c r="K247" s="11" t="str">
        <f aca="false">IF(OR(J247="",J247=0),"",_xlfn.MAXIFS($E$2:$E$500,$B$2:$B$500,B247,$C$2:$C$500,C247,$F$2:$F$500,F247,$H$2:$H$500,"Trade estimate"))</f>
        <v/>
      </c>
      <c r="L247" s="11" t="str">
        <f aca="false">IF(OR(J247="",J247=0),"",_xlfn.MINIFS($E$2:$E$500,$B$2:$B$500,B247,$C$2:$C$500,C247,$F$2:$F$500,F247,$H$2:$H$500,"Trade estimate"))</f>
        <v/>
      </c>
      <c r="M247" s="12" t="str">
        <f aca="false">IF(OR(J247="",J247&lt;2),"",IF(L247=0,"",(K247-L247)/L247))</f>
        <v/>
      </c>
      <c r="N247" s="13" t="str">
        <f aca="false">IF(B247="","",IF(J247&lt;2,"Needs 2+ trade sources",IF(M247&gt;Lists!$E$2,"CHECK","OK")))</f>
        <v/>
      </c>
      <c r="O247" s="9" t="str">
        <f aca="false">IF(B247="","",IF(J247&lt;2,"Needs 2+ trade sources",IF(M247&lt;=Lists!$E$6,"Good",IF(M247&lt;=Lists!$E$2,"Moderate","Bad"))))</f>
        <v/>
      </c>
    </row>
    <row r="248" customFormat="false" ht="14.25" hidden="false" customHeight="true" outlineLevel="0" collapsed="false">
      <c r="A248" s="6"/>
      <c r="B248" s="7"/>
      <c r="C248" s="8"/>
      <c r="D248" s="9" t="str">
        <f aca="false">IF(OR(B248="",C248=""),"",IFERROR(C248-INDEX(Films!$C$2:$C$100,MATCH(B248,Films!$A$2:$A$100,0))+1,""))</f>
        <v/>
      </c>
      <c r="E248" s="10"/>
      <c r="F248" s="7"/>
      <c r="G248" s="7"/>
      <c r="H248" s="7"/>
      <c r="I248" s="7"/>
      <c r="J248" s="9" t="str">
        <f aca="false">IF(B248="","",COUNTIFS($B$2:$B$500,B248,$C$2:$C$500,C248,$F$2:$F$500,F248,$H$2:$H$500,"Trade estimate"))</f>
        <v/>
      </c>
      <c r="K248" s="11" t="str">
        <f aca="false">IF(OR(J248="",J248=0),"",_xlfn.MAXIFS($E$2:$E$500,$B$2:$B$500,B248,$C$2:$C$500,C248,$F$2:$F$500,F248,$H$2:$H$500,"Trade estimate"))</f>
        <v/>
      </c>
      <c r="L248" s="11" t="str">
        <f aca="false">IF(OR(J248="",J248=0),"",_xlfn.MINIFS($E$2:$E$500,$B$2:$B$500,B248,$C$2:$C$500,C248,$F$2:$F$500,F248,$H$2:$H$500,"Trade estimate"))</f>
        <v/>
      </c>
      <c r="M248" s="12" t="str">
        <f aca="false">IF(OR(J248="",J248&lt;2),"",IF(L248=0,"",(K248-L248)/L248))</f>
        <v/>
      </c>
      <c r="N248" s="13" t="str">
        <f aca="false">IF(B248="","",IF(J248&lt;2,"Needs 2+ trade sources",IF(M248&gt;Lists!$E$2,"CHECK","OK")))</f>
        <v/>
      </c>
      <c r="O248" s="9" t="str">
        <f aca="false">IF(B248="","",IF(J248&lt;2,"Needs 2+ trade sources",IF(M248&lt;=Lists!$E$6,"Good",IF(M248&lt;=Lists!$E$2,"Moderate","Bad"))))</f>
        <v/>
      </c>
    </row>
    <row r="249" customFormat="false" ht="14.25" hidden="false" customHeight="true" outlineLevel="0" collapsed="false">
      <c r="A249" s="6"/>
      <c r="B249" s="7"/>
      <c r="C249" s="8"/>
      <c r="D249" s="9" t="str">
        <f aca="false">IF(OR(B249="",C249=""),"",IFERROR(C249-INDEX(Films!$C$2:$C$100,MATCH(B249,Films!$A$2:$A$100,0))+1,""))</f>
        <v/>
      </c>
      <c r="E249" s="10"/>
      <c r="F249" s="7"/>
      <c r="G249" s="7"/>
      <c r="H249" s="7"/>
      <c r="I249" s="7"/>
      <c r="J249" s="9" t="str">
        <f aca="false">IF(B249="","",COUNTIFS($B$2:$B$500,B249,$C$2:$C$500,C249,$F$2:$F$500,F249,$H$2:$H$500,"Trade estimate"))</f>
        <v/>
      </c>
      <c r="K249" s="11" t="str">
        <f aca="false">IF(OR(J249="",J249=0),"",_xlfn.MAXIFS($E$2:$E$500,$B$2:$B$500,B249,$C$2:$C$500,C249,$F$2:$F$500,F249,$H$2:$H$500,"Trade estimate"))</f>
        <v/>
      </c>
      <c r="L249" s="11" t="str">
        <f aca="false">IF(OR(J249="",J249=0),"",_xlfn.MINIFS($E$2:$E$500,$B$2:$B$500,B249,$C$2:$C$500,C249,$F$2:$F$500,F249,$H$2:$H$500,"Trade estimate"))</f>
        <v/>
      </c>
      <c r="M249" s="12" t="str">
        <f aca="false">IF(OR(J249="",J249&lt;2),"",IF(L249=0,"",(K249-L249)/L249))</f>
        <v/>
      </c>
      <c r="N249" s="13" t="str">
        <f aca="false">IF(B249="","",IF(J249&lt;2,"Needs 2+ trade sources",IF(M249&gt;Lists!$E$2,"CHECK","OK")))</f>
        <v/>
      </c>
      <c r="O249" s="9" t="str">
        <f aca="false">IF(B249="","",IF(J249&lt;2,"Needs 2+ trade sources",IF(M249&lt;=Lists!$E$6,"Good",IF(M249&lt;=Lists!$E$2,"Moderate","Bad"))))</f>
        <v/>
      </c>
    </row>
    <row r="250" customFormat="false" ht="14.25" hidden="false" customHeight="true" outlineLevel="0" collapsed="false">
      <c r="A250" s="6"/>
      <c r="B250" s="7"/>
      <c r="C250" s="8"/>
      <c r="D250" s="9" t="str">
        <f aca="false">IF(OR(B250="",C250=""),"",IFERROR(C250-INDEX(Films!$C$2:$C$100,MATCH(B250,Films!$A$2:$A$100,0))+1,""))</f>
        <v/>
      </c>
      <c r="E250" s="10"/>
      <c r="F250" s="7"/>
      <c r="G250" s="7"/>
      <c r="H250" s="7"/>
      <c r="I250" s="7"/>
      <c r="J250" s="9" t="str">
        <f aca="false">IF(B250="","",COUNTIFS($B$2:$B$500,B250,$C$2:$C$500,C250,$F$2:$F$500,F250,$H$2:$H$500,"Trade estimate"))</f>
        <v/>
      </c>
      <c r="K250" s="11" t="str">
        <f aca="false">IF(OR(J250="",J250=0),"",_xlfn.MAXIFS($E$2:$E$500,$B$2:$B$500,B250,$C$2:$C$500,C250,$F$2:$F$500,F250,$H$2:$H$500,"Trade estimate"))</f>
        <v/>
      </c>
      <c r="L250" s="11" t="str">
        <f aca="false">IF(OR(J250="",J250=0),"",_xlfn.MINIFS($E$2:$E$500,$B$2:$B$500,B250,$C$2:$C$500,C250,$F$2:$F$500,F250,$H$2:$H$500,"Trade estimate"))</f>
        <v/>
      </c>
      <c r="M250" s="12" t="str">
        <f aca="false">IF(OR(J250="",J250&lt;2),"",IF(L250=0,"",(K250-L250)/L250))</f>
        <v/>
      </c>
      <c r="N250" s="13" t="str">
        <f aca="false">IF(B250="","",IF(J250&lt;2,"Needs 2+ trade sources",IF(M250&gt;Lists!$E$2,"CHECK","OK")))</f>
        <v/>
      </c>
      <c r="O250" s="9" t="str">
        <f aca="false">IF(B250="","",IF(J250&lt;2,"Needs 2+ trade sources",IF(M250&lt;=Lists!$E$6,"Good",IF(M250&lt;=Lists!$E$2,"Moderate","Bad"))))</f>
        <v/>
      </c>
    </row>
    <row r="251" customFormat="false" ht="14.25" hidden="false" customHeight="true" outlineLevel="0" collapsed="false">
      <c r="A251" s="6"/>
      <c r="B251" s="7"/>
      <c r="C251" s="8"/>
      <c r="D251" s="9" t="str">
        <f aca="false">IF(OR(B251="",C251=""),"",IFERROR(C251-INDEX(Films!$C$2:$C$100,MATCH(B251,Films!$A$2:$A$100,0))+1,""))</f>
        <v/>
      </c>
      <c r="E251" s="10"/>
      <c r="F251" s="7"/>
      <c r="G251" s="7"/>
      <c r="H251" s="7"/>
      <c r="I251" s="7"/>
      <c r="J251" s="9" t="str">
        <f aca="false">IF(B251="","",COUNTIFS($B$2:$B$500,B251,$C$2:$C$500,C251,$F$2:$F$500,F251,$H$2:$H$500,"Trade estimate"))</f>
        <v/>
      </c>
      <c r="K251" s="11" t="str">
        <f aca="false">IF(OR(J251="",J251=0),"",_xlfn.MAXIFS($E$2:$E$500,$B$2:$B$500,B251,$C$2:$C$500,C251,$F$2:$F$500,F251,$H$2:$H$500,"Trade estimate"))</f>
        <v/>
      </c>
      <c r="L251" s="11" t="str">
        <f aca="false">IF(OR(J251="",J251=0),"",_xlfn.MINIFS($E$2:$E$500,$B$2:$B$500,B251,$C$2:$C$500,C251,$F$2:$F$500,F251,$H$2:$H$500,"Trade estimate"))</f>
        <v/>
      </c>
      <c r="M251" s="12" t="str">
        <f aca="false">IF(OR(J251="",J251&lt;2),"",IF(L251=0,"",(K251-L251)/L251))</f>
        <v/>
      </c>
      <c r="N251" s="13" t="str">
        <f aca="false">IF(B251="","",IF(J251&lt;2,"Needs 2+ trade sources",IF(M251&gt;Lists!$E$2,"CHECK","OK")))</f>
        <v/>
      </c>
      <c r="O251" s="9" t="str">
        <f aca="false">IF(B251="","",IF(J251&lt;2,"Needs 2+ trade sources",IF(M251&lt;=Lists!$E$6,"Good",IF(M251&lt;=Lists!$E$2,"Moderate","Bad"))))</f>
        <v/>
      </c>
    </row>
    <row r="252" customFormat="false" ht="14.25" hidden="false" customHeight="true" outlineLevel="0" collapsed="false">
      <c r="A252" s="6"/>
      <c r="B252" s="7"/>
      <c r="C252" s="8"/>
      <c r="D252" s="9" t="str">
        <f aca="false">IF(OR(B252="",C252=""),"",IFERROR(C252-INDEX(Films!$C$2:$C$100,MATCH(B252,Films!$A$2:$A$100,0))+1,""))</f>
        <v/>
      </c>
      <c r="E252" s="10"/>
      <c r="F252" s="7"/>
      <c r="G252" s="7"/>
      <c r="H252" s="7"/>
      <c r="I252" s="7"/>
      <c r="J252" s="9" t="str">
        <f aca="false">IF(B252="","",COUNTIFS($B$2:$B$500,B252,$C$2:$C$500,C252,$F$2:$F$500,F252,$H$2:$H$500,"Trade estimate"))</f>
        <v/>
      </c>
      <c r="K252" s="11" t="str">
        <f aca="false">IF(OR(J252="",J252=0),"",_xlfn.MAXIFS($E$2:$E$500,$B$2:$B$500,B252,$C$2:$C$500,C252,$F$2:$F$500,F252,$H$2:$H$500,"Trade estimate"))</f>
        <v/>
      </c>
      <c r="L252" s="11" t="str">
        <f aca="false">IF(OR(J252="",J252=0),"",_xlfn.MINIFS($E$2:$E$500,$B$2:$B$500,B252,$C$2:$C$500,C252,$F$2:$F$500,F252,$H$2:$H$500,"Trade estimate"))</f>
        <v/>
      </c>
      <c r="M252" s="12" t="str">
        <f aca="false">IF(OR(J252="",J252&lt;2),"",IF(L252=0,"",(K252-L252)/L252))</f>
        <v/>
      </c>
      <c r="N252" s="13" t="str">
        <f aca="false">IF(B252="","",IF(J252&lt;2,"Needs 2+ trade sources",IF(M252&gt;Lists!$E$2,"CHECK","OK")))</f>
        <v/>
      </c>
      <c r="O252" s="9" t="str">
        <f aca="false">IF(B252="","",IF(J252&lt;2,"Needs 2+ trade sources",IF(M252&lt;=Lists!$E$6,"Good",IF(M252&lt;=Lists!$E$2,"Moderate","Bad"))))</f>
        <v/>
      </c>
    </row>
    <row r="253" customFormat="false" ht="14.25" hidden="false" customHeight="true" outlineLevel="0" collapsed="false">
      <c r="A253" s="6"/>
      <c r="B253" s="7"/>
      <c r="C253" s="8"/>
      <c r="D253" s="9" t="str">
        <f aca="false">IF(OR(B253="",C253=""),"",IFERROR(C253-INDEX(Films!$C$2:$C$100,MATCH(B253,Films!$A$2:$A$100,0))+1,""))</f>
        <v/>
      </c>
      <c r="E253" s="10"/>
      <c r="F253" s="7"/>
      <c r="G253" s="7"/>
      <c r="H253" s="7"/>
      <c r="I253" s="7"/>
      <c r="J253" s="9" t="str">
        <f aca="false">IF(B253="","",COUNTIFS($B$2:$B$500,B253,$C$2:$C$500,C253,$F$2:$F$500,F253,$H$2:$H$500,"Trade estimate"))</f>
        <v/>
      </c>
      <c r="K253" s="11" t="str">
        <f aca="false">IF(OR(J253="",J253=0),"",_xlfn.MAXIFS($E$2:$E$500,$B$2:$B$500,B253,$C$2:$C$500,C253,$F$2:$F$500,F253,$H$2:$H$500,"Trade estimate"))</f>
        <v/>
      </c>
      <c r="L253" s="11" t="str">
        <f aca="false">IF(OR(J253="",J253=0),"",_xlfn.MINIFS($E$2:$E$500,$B$2:$B$500,B253,$C$2:$C$500,C253,$F$2:$F$500,F253,$H$2:$H$500,"Trade estimate"))</f>
        <v/>
      </c>
      <c r="M253" s="12" t="str">
        <f aca="false">IF(OR(J253="",J253&lt;2),"",IF(L253=0,"",(K253-L253)/L253))</f>
        <v/>
      </c>
      <c r="N253" s="13" t="str">
        <f aca="false">IF(B253="","",IF(J253&lt;2,"Needs 2+ trade sources",IF(M253&gt;Lists!$E$2,"CHECK","OK")))</f>
        <v/>
      </c>
      <c r="O253" s="9" t="str">
        <f aca="false">IF(B253="","",IF(J253&lt;2,"Needs 2+ trade sources",IF(M253&lt;=Lists!$E$6,"Good",IF(M253&lt;=Lists!$E$2,"Moderate","Bad"))))</f>
        <v/>
      </c>
    </row>
    <row r="254" customFormat="false" ht="14.25" hidden="false" customHeight="true" outlineLevel="0" collapsed="false">
      <c r="A254" s="6"/>
      <c r="B254" s="7"/>
      <c r="C254" s="8"/>
      <c r="D254" s="9" t="str">
        <f aca="false">IF(OR(B254="",C254=""),"",IFERROR(C254-INDEX(Films!$C$2:$C$100,MATCH(B254,Films!$A$2:$A$100,0))+1,""))</f>
        <v/>
      </c>
      <c r="E254" s="10"/>
      <c r="F254" s="7"/>
      <c r="G254" s="7"/>
      <c r="H254" s="7"/>
      <c r="I254" s="7"/>
      <c r="J254" s="9" t="str">
        <f aca="false">IF(B254="","",COUNTIFS($B$2:$B$500,B254,$C$2:$C$500,C254,$F$2:$F$500,F254,$H$2:$H$500,"Trade estimate"))</f>
        <v/>
      </c>
      <c r="K254" s="11" t="str">
        <f aca="false">IF(OR(J254="",J254=0),"",_xlfn.MAXIFS($E$2:$E$500,$B$2:$B$500,B254,$C$2:$C$500,C254,$F$2:$F$500,F254,$H$2:$H$500,"Trade estimate"))</f>
        <v/>
      </c>
      <c r="L254" s="11" t="str">
        <f aca="false">IF(OR(J254="",J254=0),"",_xlfn.MINIFS($E$2:$E$500,$B$2:$B$500,B254,$C$2:$C$500,C254,$F$2:$F$500,F254,$H$2:$H$500,"Trade estimate"))</f>
        <v/>
      </c>
      <c r="M254" s="12" t="str">
        <f aca="false">IF(OR(J254="",J254&lt;2),"",IF(L254=0,"",(K254-L254)/L254))</f>
        <v/>
      </c>
      <c r="N254" s="13" t="str">
        <f aca="false">IF(B254="","",IF(J254&lt;2,"Needs 2+ trade sources",IF(M254&gt;Lists!$E$2,"CHECK","OK")))</f>
        <v/>
      </c>
      <c r="O254" s="9" t="str">
        <f aca="false">IF(B254="","",IF(J254&lt;2,"Needs 2+ trade sources",IF(M254&lt;=Lists!$E$6,"Good",IF(M254&lt;=Lists!$E$2,"Moderate","Bad"))))</f>
        <v/>
      </c>
    </row>
    <row r="255" customFormat="false" ht="14.25" hidden="false" customHeight="true" outlineLevel="0" collapsed="false">
      <c r="A255" s="6"/>
      <c r="B255" s="7"/>
      <c r="C255" s="8"/>
      <c r="D255" s="9" t="str">
        <f aca="false">IF(OR(B255="",C255=""),"",IFERROR(C255-INDEX(Films!$C$2:$C$100,MATCH(B255,Films!$A$2:$A$100,0))+1,""))</f>
        <v/>
      </c>
      <c r="E255" s="10"/>
      <c r="F255" s="7"/>
      <c r="G255" s="7"/>
      <c r="H255" s="7"/>
      <c r="I255" s="7"/>
      <c r="J255" s="9" t="str">
        <f aca="false">IF(B255="","",COUNTIFS($B$2:$B$500,B255,$C$2:$C$500,C255,$F$2:$F$500,F255,$H$2:$H$500,"Trade estimate"))</f>
        <v/>
      </c>
      <c r="K255" s="11" t="str">
        <f aca="false">IF(OR(J255="",J255=0),"",_xlfn.MAXIFS($E$2:$E$500,$B$2:$B$500,B255,$C$2:$C$500,C255,$F$2:$F$500,F255,$H$2:$H$500,"Trade estimate"))</f>
        <v/>
      </c>
      <c r="L255" s="11" t="str">
        <f aca="false">IF(OR(J255="",J255=0),"",_xlfn.MINIFS($E$2:$E$500,$B$2:$B$500,B255,$C$2:$C$500,C255,$F$2:$F$500,F255,$H$2:$H$500,"Trade estimate"))</f>
        <v/>
      </c>
      <c r="M255" s="12" t="str">
        <f aca="false">IF(OR(J255="",J255&lt;2),"",IF(L255=0,"",(K255-L255)/L255))</f>
        <v/>
      </c>
      <c r="N255" s="13" t="str">
        <f aca="false">IF(B255="","",IF(J255&lt;2,"Needs 2+ trade sources",IF(M255&gt;Lists!$E$2,"CHECK","OK")))</f>
        <v/>
      </c>
      <c r="O255" s="9" t="str">
        <f aca="false">IF(B255="","",IF(J255&lt;2,"Needs 2+ trade sources",IF(M255&lt;=Lists!$E$6,"Good",IF(M255&lt;=Lists!$E$2,"Moderate","Bad"))))</f>
        <v/>
      </c>
    </row>
    <row r="256" customFormat="false" ht="14.25" hidden="false" customHeight="true" outlineLevel="0" collapsed="false">
      <c r="A256" s="6"/>
      <c r="B256" s="7"/>
      <c r="C256" s="8"/>
      <c r="D256" s="9" t="str">
        <f aca="false">IF(OR(B256="",C256=""),"",IFERROR(C256-INDEX(Films!$C$2:$C$100,MATCH(B256,Films!$A$2:$A$100,0))+1,""))</f>
        <v/>
      </c>
      <c r="E256" s="10"/>
      <c r="F256" s="7"/>
      <c r="G256" s="7"/>
      <c r="H256" s="7"/>
      <c r="I256" s="7"/>
      <c r="J256" s="9" t="str">
        <f aca="false">IF(B256="","",COUNTIFS($B$2:$B$500,B256,$C$2:$C$500,C256,$F$2:$F$500,F256,$H$2:$H$500,"Trade estimate"))</f>
        <v/>
      </c>
      <c r="K256" s="11" t="str">
        <f aca="false">IF(OR(J256="",J256=0),"",_xlfn.MAXIFS($E$2:$E$500,$B$2:$B$500,B256,$C$2:$C$500,C256,$F$2:$F$500,F256,$H$2:$H$500,"Trade estimate"))</f>
        <v/>
      </c>
      <c r="L256" s="11" t="str">
        <f aca="false">IF(OR(J256="",J256=0),"",_xlfn.MINIFS($E$2:$E$500,$B$2:$B$500,B256,$C$2:$C$500,C256,$F$2:$F$500,F256,$H$2:$H$500,"Trade estimate"))</f>
        <v/>
      </c>
      <c r="M256" s="12" t="str">
        <f aca="false">IF(OR(J256="",J256&lt;2),"",IF(L256=0,"",(K256-L256)/L256))</f>
        <v/>
      </c>
      <c r="N256" s="13" t="str">
        <f aca="false">IF(B256="","",IF(J256&lt;2,"Needs 2+ trade sources",IF(M256&gt;Lists!$E$2,"CHECK","OK")))</f>
        <v/>
      </c>
      <c r="O256" s="9" t="str">
        <f aca="false">IF(B256="","",IF(J256&lt;2,"Needs 2+ trade sources",IF(M256&lt;=Lists!$E$6,"Good",IF(M256&lt;=Lists!$E$2,"Moderate","Bad"))))</f>
        <v/>
      </c>
    </row>
    <row r="257" customFormat="false" ht="14.25" hidden="false" customHeight="true" outlineLevel="0" collapsed="false">
      <c r="A257" s="6"/>
      <c r="B257" s="7"/>
      <c r="C257" s="8"/>
      <c r="D257" s="9" t="str">
        <f aca="false">IF(OR(B257="",C257=""),"",IFERROR(C257-INDEX(Films!$C$2:$C$100,MATCH(B257,Films!$A$2:$A$100,0))+1,""))</f>
        <v/>
      </c>
      <c r="E257" s="10"/>
      <c r="F257" s="7"/>
      <c r="G257" s="7"/>
      <c r="H257" s="7"/>
      <c r="I257" s="7"/>
      <c r="J257" s="9" t="str">
        <f aca="false">IF(B257="","",COUNTIFS($B$2:$B$500,B257,$C$2:$C$500,C257,$F$2:$F$500,F257,$H$2:$H$500,"Trade estimate"))</f>
        <v/>
      </c>
      <c r="K257" s="11" t="str">
        <f aca="false">IF(OR(J257="",J257=0),"",_xlfn.MAXIFS($E$2:$E$500,$B$2:$B$500,B257,$C$2:$C$500,C257,$F$2:$F$500,F257,$H$2:$H$500,"Trade estimate"))</f>
        <v/>
      </c>
      <c r="L257" s="11" t="str">
        <f aca="false">IF(OR(J257="",J257=0),"",_xlfn.MINIFS($E$2:$E$500,$B$2:$B$500,B257,$C$2:$C$500,C257,$F$2:$F$500,F257,$H$2:$H$500,"Trade estimate"))</f>
        <v/>
      </c>
      <c r="M257" s="12" t="str">
        <f aca="false">IF(OR(J257="",J257&lt;2),"",IF(L257=0,"",(K257-L257)/L257))</f>
        <v/>
      </c>
      <c r="N257" s="13" t="str">
        <f aca="false">IF(B257="","",IF(J257&lt;2,"Needs 2+ trade sources",IF(M257&gt;Lists!$E$2,"CHECK","OK")))</f>
        <v/>
      </c>
      <c r="O257" s="9" t="str">
        <f aca="false">IF(B257="","",IF(J257&lt;2,"Needs 2+ trade sources",IF(M257&lt;=Lists!$E$6,"Good",IF(M257&lt;=Lists!$E$2,"Moderate","Bad"))))</f>
        <v/>
      </c>
    </row>
    <row r="258" customFormat="false" ht="14.25" hidden="false" customHeight="true" outlineLevel="0" collapsed="false">
      <c r="A258" s="6"/>
      <c r="B258" s="7"/>
      <c r="C258" s="8"/>
      <c r="D258" s="9" t="str">
        <f aca="false">IF(OR(B258="",C258=""),"",IFERROR(C258-INDEX(Films!$C$2:$C$100,MATCH(B258,Films!$A$2:$A$100,0))+1,""))</f>
        <v/>
      </c>
      <c r="E258" s="10"/>
      <c r="F258" s="7"/>
      <c r="G258" s="7"/>
      <c r="H258" s="7"/>
      <c r="I258" s="7"/>
      <c r="J258" s="9" t="str">
        <f aca="false">IF(B258="","",COUNTIFS($B$2:$B$500,B258,$C$2:$C$500,C258,$F$2:$F$500,F258,$H$2:$H$500,"Trade estimate"))</f>
        <v/>
      </c>
      <c r="K258" s="11" t="str">
        <f aca="false">IF(OR(J258="",J258=0),"",_xlfn.MAXIFS($E$2:$E$500,$B$2:$B$500,B258,$C$2:$C$500,C258,$F$2:$F$500,F258,$H$2:$H$500,"Trade estimate"))</f>
        <v/>
      </c>
      <c r="L258" s="11" t="str">
        <f aca="false">IF(OR(J258="",J258=0),"",_xlfn.MINIFS($E$2:$E$500,$B$2:$B$500,B258,$C$2:$C$500,C258,$F$2:$F$500,F258,$H$2:$H$500,"Trade estimate"))</f>
        <v/>
      </c>
      <c r="M258" s="12" t="str">
        <f aca="false">IF(OR(J258="",J258&lt;2),"",IF(L258=0,"",(K258-L258)/L258))</f>
        <v/>
      </c>
      <c r="N258" s="13" t="str">
        <f aca="false">IF(B258="","",IF(J258&lt;2,"Needs 2+ trade sources",IF(M258&gt;Lists!$E$2,"CHECK","OK")))</f>
        <v/>
      </c>
      <c r="O258" s="9" t="str">
        <f aca="false">IF(B258="","",IF(J258&lt;2,"Needs 2+ trade sources",IF(M258&lt;=Lists!$E$6,"Good",IF(M258&lt;=Lists!$E$2,"Moderate","Bad"))))</f>
        <v/>
      </c>
    </row>
    <row r="259" customFormat="false" ht="14.25" hidden="false" customHeight="true" outlineLevel="0" collapsed="false">
      <c r="A259" s="6"/>
      <c r="B259" s="7"/>
      <c r="C259" s="8"/>
      <c r="D259" s="9" t="str">
        <f aca="false">IF(OR(B259="",C259=""),"",IFERROR(C259-INDEX(Films!$C$2:$C$100,MATCH(B259,Films!$A$2:$A$100,0))+1,""))</f>
        <v/>
      </c>
      <c r="E259" s="10"/>
      <c r="F259" s="7"/>
      <c r="G259" s="7"/>
      <c r="H259" s="7"/>
      <c r="I259" s="7"/>
      <c r="J259" s="9" t="str">
        <f aca="false">IF(B259="","",COUNTIFS($B$2:$B$500,B259,$C$2:$C$500,C259,$F$2:$F$500,F259,$H$2:$H$500,"Trade estimate"))</f>
        <v/>
      </c>
      <c r="K259" s="11" t="str">
        <f aca="false">IF(OR(J259="",J259=0),"",_xlfn.MAXIFS($E$2:$E$500,$B$2:$B$500,B259,$C$2:$C$500,C259,$F$2:$F$500,F259,$H$2:$H$500,"Trade estimate"))</f>
        <v/>
      </c>
      <c r="L259" s="11" t="str">
        <f aca="false">IF(OR(J259="",J259=0),"",_xlfn.MINIFS($E$2:$E$500,$B$2:$B$500,B259,$C$2:$C$500,C259,$F$2:$F$500,F259,$H$2:$H$500,"Trade estimate"))</f>
        <v/>
      </c>
      <c r="M259" s="12" t="str">
        <f aca="false">IF(OR(J259="",J259&lt;2),"",IF(L259=0,"",(K259-L259)/L259))</f>
        <v/>
      </c>
      <c r="N259" s="13" t="str">
        <f aca="false">IF(B259="","",IF(J259&lt;2,"Needs 2+ trade sources",IF(M259&gt;Lists!$E$2,"CHECK","OK")))</f>
        <v/>
      </c>
      <c r="O259" s="9" t="str">
        <f aca="false">IF(B259="","",IF(J259&lt;2,"Needs 2+ trade sources",IF(M259&lt;=Lists!$E$6,"Good",IF(M259&lt;=Lists!$E$2,"Moderate","Bad"))))</f>
        <v/>
      </c>
    </row>
    <row r="260" customFormat="false" ht="14.25" hidden="false" customHeight="true" outlineLevel="0" collapsed="false">
      <c r="A260" s="6"/>
      <c r="B260" s="7"/>
      <c r="C260" s="8"/>
      <c r="D260" s="9" t="str">
        <f aca="false">IF(OR(B260="",C260=""),"",IFERROR(C260-INDEX(Films!$C$2:$C$100,MATCH(B260,Films!$A$2:$A$100,0))+1,""))</f>
        <v/>
      </c>
      <c r="E260" s="10"/>
      <c r="F260" s="7"/>
      <c r="G260" s="7"/>
      <c r="H260" s="7"/>
      <c r="I260" s="7"/>
      <c r="J260" s="9" t="str">
        <f aca="false">IF(B260="","",COUNTIFS($B$2:$B$500,B260,$C$2:$C$500,C260,$F$2:$F$500,F260,$H$2:$H$500,"Trade estimate"))</f>
        <v/>
      </c>
      <c r="K260" s="11" t="str">
        <f aca="false">IF(OR(J260="",J260=0),"",_xlfn.MAXIFS($E$2:$E$500,$B$2:$B$500,B260,$C$2:$C$500,C260,$F$2:$F$500,F260,$H$2:$H$500,"Trade estimate"))</f>
        <v/>
      </c>
      <c r="L260" s="11" t="str">
        <f aca="false">IF(OR(J260="",J260=0),"",_xlfn.MINIFS($E$2:$E$500,$B$2:$B$500,B260,$C$2:$C$500,C260,$F$2:$F$500,F260,$H$2:$H$500,"Trade estimate"))</f>
        <v/>
      </c>
      <c r="M260" s="12" t="str">
        <f aca="false">IF(OR(J260="",J260&lt;2),"",IF(L260=0,"",(K260-L260)/L260))</f>
        <v/>
      </c>
      <c r="N260" s="13" t="str">
        <f aca="false">IF(B260="","",IF(J260&lt;2,"Needs 2+ trade sources",IF(M260&gt;Lists!$E$2,"CHECK","OK")))</f>
        <v/>
      </c>
      <c r="O260" s="9" t="str">
        <f aca="false">IF(B260="","",IF(J260&lt;2,"Needs 2+ trade sources",IF(M260&lt;=Lists!$E$6,"Good",IF(M260&lt;=Lists!$E$2,"Moderate","Bad"))))</f>
        <v/>
      </c>
    </row>
    <row r="261" customFormat="false" ht="14.25" hidden="false" customHeight="true" outlineLevel="0" collapsed="false">
      <c r="A261" s="6"/>
      <c r="B261" s="7"/>
      <c r="C261" s="8"/>
      <c r="D261" s="9" t="str">
        <f aca="false">IF(OR(B261="",C261=""),"",IFERROR(C261-INDEX(Films!$C$2:$C$100,MATCH(B261,Films!$A$2:$A$100,0))+1,""))</f>
        <v/>
      </c>
      <c r="E261" s="10"/>
      <c r="F261" s="7"/>
      <c r="G261" s="7"/>
      <c r="H261" s="7"/>
      <c r="I261" s="7"/>
      <c r="J261" s="9" t="str">
        <f aca="false">IF(B261="","",COUNTIFS($B$2:$B$500,B261,$C$2:$C$500,C261,$F$2:$F$500,F261,$H$2:$H$500,"Trade estimate"))</f>
        <v/>
      </c>
      <c r="K261" s="11" t="str">
        <f aca="false">IF(OR(J261="",J261=0),"",_xlfn.MAXIFS($E$2:$E$500,$B$2:$B$500,B261,$C$2:$C$500,C261,$F$2:$F$500,F261,$H$2:$H$500,"Trade estimate"))</f>
        <v/>
      </c>
      <c r="L261" s="11" t="str">
        <f aca="false">IF(OR(J261="",J261=0),"",_xlfn.MINIFS($E$2:$E$500,$B$2:$B$500,B261,$C$2:$C$500,C261,$F$2:$F$500,F261,$H$2:$H$500,"Trade estimate"))</f>
        <v/>
      </c>
      <c r="M261" s="12" t="str">
        <f aca="false">IF(OR(J261="",J261&lt;2),"",IF(L261=0,"",(K261-L261)/L261))</f>
        <v/>
      </c>
      <c r="N261" s="13" t="str">
        <f aca="false">IF(B261="","",IF(J261&lt;2,"Needs 2+ trade sources",IF(M261&gt;Lists!$E$2,"CHECK","OK")))</f>
        <v/>
      </c>
      <c r="O261" s="9" t="str">
        <f aca="false">IF(B261="","",IF(J261&lt;2,"Needs 2+ trade sources",IF(M261&lt;=Lists!$E$6,"Good",IF(M261&lt;=Lists!$E$2,"Moderate","Bad"))))</f>
        <v/>
      </c>
    </row>
    <row r="262" customFormat="false" ht="14.25" hidden="false" customHeight="true" outlineLevel="0" collapsed="false">
      <c r="A262" s="6"/>
      <c r="B262" s="7"/>
      <c r="C262" s="8"/>
      <c r="D262" s="9" t="str">
        <f aca="false">IF(OR(B262="",C262=""),"",IFERROR(C262-INDEX(Films!$C$2:$C$100,MATCH(B262,Films!$A$2:$A$100,0))+1,""))</f>
        <v/>
      </c>
      <c r="E262" s="10"/>
      <c r="F262" s="7"/>
      <c r="G262" s="7"/>
      <c r="H262" s="7"/>
      <c r="I262" s="7"/>
      <c r="J262" s="9" t="str">
        <f aca="false">IF(B262="","",COUNTIFS($B$2:$B$500,B262,$C$2:$C$500,C262,$F$2:$F$500,F262,$H$2:$H$500,"Trade estimate"))</f>
        <v/>
      </c>
      <c r="K262" s="11" t="str">
        <f aca="false">IF(OR(J262="",J262=0),"",_xlfn.MAXIFS($E$2:$E$500,$B$2:$B$500,B262,$C$2:$C$500,C262,$F$2:$F$500,F262,$H$2:$H$500,"Trade estimate"))</f>
        <v/>
      </c>
      <c r="L262" s="11" t="str">
        <f aca="false">IF(OR(J262="",J262=0),"",_xlfn.MINIFS($E$2:$E$500,$B$2:$B$500,B262,$C$2:$C$500,C262,$F$2:$F$500,F262,$H$2:$H$500,"Trade estimate"))</f>
        <v/>
      </c>
      <c r="M262" s="12" t="str">
        <f aca="false">IF(OR(J262="",J262&lt;2),"",IF(L262=0,"",(K262-L262)/L262))</f>
        <v/>
      </c>
      <c r="N262" s="13" t="str">
        <f aca="false">IF(B262="","",IF(J262&lt;2,"Needs 2+ trade sources",IF(M262&gt;Lists!$E$2,"CHECK","OK")))</f>
        <v/>
      </c>
      <c r="O262" s="9" t="str">
        <f aca="false">IF(B262="","",IF(J262&lt;2,"Needs 2+ trade sources",IF(M262&lt;=Lists!$E$6,"Good",IF(M262&lt;=Lists!$E$2,"Moderate","Bad"))))</f>
        <v/>
      </c>
    </row>
    <row r="263" customFormat="false" ht="14.25" hidden="false" customHeight="true" outlineLevel="0" collapsed="false">
      <c r="A263" s="6"/>
      <c r="B263" s="7"/>
      <c r="C263" s="8"/>
      <c r="D263" s="9" t="str">
        <f aca="false">IF(OR(B263="",C263=""),"",IFERROR(C263-INDEX(Films!$C$2:$C$100,MATCH(B263,Films!$A$2:$A$100,0))+1,""))</f>
        <v/>
      </c>
      <c r="E263" s="10"/>
      <c r="F263" s="7"/>
      <c r="G263" s="7"/>
      <c r="H263" s="7"/>
      <c r="I263" s="7"/>
      <c r="J263" s="9" t="str">
        <f aca="false">IF(B263="","",COUNTIFS($B$2:$B$500,B263,$C$2:$C$500,C263,$F$2:$F$500,F263,$H$2:$H$500,"Trade estimate"))</f>
        <v/>
      </c>
      <c r="K263" s="11" t="str">
        <f aca="false">IF(OR(J263="",J263=0),"",_xlfn.MAXIFS($E$2:$E$500,$B$2:$B$500,B263,$C$2:$C$500,C263,$F$2:$F$500,F263,$H$2:$H$500,"Trade estimate"))</f>
        <v/>
      </c>
      <c r="L263" s="11" t="str">
        <f aca="false">IF(OR(J263="",J263=0),"",_xlfn.MINIFS($E$2:$E$500,$B$2:$B$500,B263,$C$2:$C$500,C263,$F$2:$F$500,F263,$H$2:$H$500,"Trade estimate"))</f>
        <v/>
      </c>
      <c r="M263" s="12" t="str">
        <f aca="false">IF(OR(J263="",J263&lt;2),"",IF(L263=0,"",(K263-L263)/L263))</f>
        <v/>
      </c>
      <c r="N263" s="13" t="str">
        <f aca="false">IF(B263="","",IF(J263&lt;2,"Needs 2+ trade sources",IF(M263&gt;Lists!$E$2,"CHECK","OK")))</f>
        <v/>
      </c>
      <c r="O263" s="9" t="str">
        <f aca="false">IF(B263="","",IF(J263&lt;2,"Needs 2+ trade sources",IF(M263&lt;=Lists!$E$6,"Good",IF(M263&lt;=Lists!$E$2,"Moderate","Bad"))))</f>
        <v/>
      </c>
    </row>
    <row r="264" customFormat="false" ht="14.25" hidden="false" customHeight="true" outlineLevel="0" collapsed="false">
      <c r="A264" s="6"/>
      <c r="B264" s="7"/>
      <c r="C264" s="8"/>
      <c r="D264" s="9" t="str">
        <f aca="false">IF(OR(B264="",C264=""),"",IFERROR(C264-INDEX(Films!$C$2:$C$100,MATCH(B264,Films!$A$2:$A$100,0))+1,""))</f>
        <v/>
      </c>
      <c r="E264" s="10"/>
      <c r="F264" s="7"/>
      <c r="G264" s="7"/>
      <c r="H264" s="7"/>
      <c r="I264" s="7"/>
      <c r="J264" s="9" t="str">
        <f aca="false">IF(B264="","",COUNTIFS($B$2:$B$500,B264,$C$2:$C$500,C264,$F$2:$F$500,F264,$H$2:$H$500,"Trade estimate"))</f>
        <v/>
      </c>
      <c r="K264" s="11" t="str">
        <f aca="false">IF(OR(J264="",J264=0),"",_xlfn.MAXIFS($E$2:$E$500,$B$2:$B$500,B264,$C$2:$C$500,C264,$F$2:$F$500,F264,$H$2:$H$500,"Trade estimate"))</f>
        <v/>
      </c>
      <c r="L264" s="11" t="str">
        <f aca="false">IF(OR(J264="",J264=0),"",_xlfn.MINIFS($E$2:$E$500,$B$2:$B$500,B264,$C$2:$C$500,C264,$F$2:$F$500,F264,$H$2:$H$500,"Trade estimate"))</f>
        <v/>
      </c>
      <c r="M264" s="12" t="str">
        <f aca="false">IF(OR(J264="",J264&lt;2),"",IF(L264=0,"",(K264-L264)/L264))</f>
        <v/>
      </c>
      <c r="N264" s="13" t="str">
        <f aca="false">IF(B264="","",IF(J264&lt;2,"Needs 2+ trade sources",IF(M264&gt;Lists!$E$2,"CHECK","OK")))</f>
        <v/>
      </c>
      <c r="O264" s="9" t="str">
        <f aca="false">IF(B264="","",IF(J264&lt;2,"Needs 2+ trade sources",IF(M264&lt;=Lists!$E$6,"Good",IF(M264&lt;=Lists!$E$2,"Moderate","Bad"))))</f>
        <v/>
      </c>
    </row>
    <row r="265" customFormat="false" ht="14.25" hidden="false" customHeight="true" outlineLevel="0" collapsed="false">
      <c r="A265" s="6"/>
      <c r="B265" s="7"/>
      <c r="C265" s="8"/>
      <c r="D265" s="9" t="str">
        <f aca="false">IF(OR(B265="",C265=""),"",IFERROR(C265-INDEX(Films!$C$2:$C$100,MATCH(B265,Films!$A$2:$A$100,0))+1,""))</f>
        <v/>
      </c>
      <c r="E265" s="10"/>
      <c r="F265" s="7"/>
      <c r="G265" s="7"/>
      <c r="H265" s="7"/>
      <c r="I265" s="7"/>
      <c r="J265" s="9" t="str">
        <f aca="false">IF(B265="","",COUNTIFS($B$2:$B$500,B265,$C$2:$C$500,C265,$F$2:$F$500,F265,$H$2:$H$500,"Trade estimate"))</f>
        <v/>
      </c>
      <c r="K265" s="11" t="str">
        <f aca="false">IF(OR(J265="",J265=0),"",_xlfn.MAXIFS($E$2:$E$500,$B$2:$B$500,B265,$C$2:$C$500,C265,$F$2:$F$500,F265,$H$2:$H$500,"Trade estimate"))</f>
        <v/>
      </c>
      <c r="L265" s="11" t="str">
        <f aca="false">IF(OR(J265="",J265=0),"",_xlfn.MINIFS($E$2:$E$500,$B$2:$B$500,B265,$C$2:$C$500,C265,$F$2:$F$500,F265,$H$2:$H$500,"Trade estimate"))</f>
        <v/>
      </c>
      <c r="M265" s="12" t="str">
        <f aca="false">IF(OR(J265="",J265&lt;2),"",IF(L265=0,"",(K265-L265)/L265))</f>
        <v/>
      </c>
      <c r="N265" s="13" t="str">
        <f aca="false">IF(B265="","",IF(J265&lt;2,"Needs 2+ trade sources",IF(M265&gt;Lists!$E$2,"CHECK","OK")))</f>
        <v/>
      </c>
      <c r="O265" s="9" t="str">
        <f aca="false">IF(B265="","",IF(J265&lt;2,"Needs 2+ trade sources",IF(M265&lt;=Lists!$E$6,"Good",IF(M265&lt;=Lists!$E$2,"Moderate","Bad"))))</f>
        <v/>
      </c>
    </row>
    <row r="266" customFormat="false" ht="14.25" hidden="false" customHeight="true" outlineLevel="0" collapsed="false">
      <c r="A266" s="6"/>
      <c r="B266" s="7"/>
      <c r="C266" s="8"/>
      <c r="D266" s="9" t="str">
        <f aca="false">IF(OR(B266="",C266=""),"",IFERROR(C266-INDEX(Films!$C$2:$C$100,MATCH(B266,Films!$A$2:$A$100,0))+1,""))</f>
        <v/>
      </c>
      <c r="E266" s="10"/>
      <c r="F266" s="7"/>
      <c r="G266" s="7"/>
      <c r="H266" s="7"/>
      <c r="I266" s="7"/>
      <c r="J266" s="9" t="str">
        <f aca="false">IF(B266="","",COUNTIFS($B$2:$B$500,B266,$C$2:$C$500,C266,$F$2:$F$500,F266,$H$2:$H$500,"Trade estimate"))</f>
        <v/>
      </c>
      <c r="K266" s="11" t="str">
        <f aca="false">IF(OR(J266="",J266=0),"",_xlfn.MAXIFS($E$2:$E$500,$B$2:$B$500,B266,$C$2:$C$500,C266,$F$2:$F$500,F266,$H$2:$H$500,"Trade estimate"))</f>
        <v/>
      </c>
      <c r="L266" s="11" t="str">
        <f aca="false">IF(OR(J266="",J266=0),"",_xlfn.MINIFS($E$2:$E$500,$B$2:$B$500,B266,$C$2:$C$500,C266,$F$2:$F$500,F266,$H$2:$H$500,"Trade estimate"))</f>
        <v/>
      </c>
      <c r="M266" s="12" t="str">
        <f aca="false">IF(OR(J266="",J266&lt;2),"",IF(L266=0,"",(K266-L266)/L266))</f>
        <v/>
      </c>
      <c r="N266" s="13" t="str">
        <f aca="false">IF(B266="","",IF(J266&lt;2,"Needs 2+ trade sources",IF(M266&gt;Lists!$E$2,"CHECK","OK")))</f>
        <v/>
      </c>
      <c r="O266" s="9" t="str">
        <f aca="false">IF(B266="","",IF(J266&lt;2,"Needs 2+ trade sources",IF(M266&lt;=Lists!$E$6,"Good",IF(M266&lt;=Lists!$E$2,"Moderate","Bad"))))</f>
        <v/>
      </c>
    </row>
    <row r="267" customFormat="false" ht="14.25" hidden="false" customHeight="true" outlineLevel="0" collapsed="false">
      <c r="A267" s="6"/>
      <c r="B267" s="7"/>
      <c r="C267" s="8"/>
      <c r="D267" s="9" t="str">
        <f aca="false">IF(OR(B267="",C267=""),"",IFERROR(C267-INDEX(Films!$C$2:$C$100,MATCH(B267,Films!$A$2:$A$100,0))+1,""))</f>
        <v/>
      </c>
      <c r="E267" s="10"/>
      <c r="F267" s="7"/>
      <c r="G267" s="7"/>
      <c r="H267" s="7"/>
      <c r="I267" s="7"/>
      <c r="J267" s="9" t="str">
        <f aca="false">IF(B267="","",COUNTIFS($B$2:$B$500,B267,$C$2:$C$500,C267,$F$2:$F$500,F267,$H$2:$H$500,"Trade estimate"))</f>
        <v/>
      </c>
      <c r="K267" s="11" t="str">
        <f aca="false">IF(OR(J267="",J267=0),"",_xlfn.MAXIFS($E$2:$E$500,$B$2:$B$500,B267,$C$2:$C$500,C267,$F$2:$F$500,F267,$H$2:$H$500,"Trade estimate"))</f>
        <v/>
      </c>
      <c r="L267" s="11" t="str">
        <f aca="false">IF(OR(J267="",J267=0),"",_xlfn.MINIFS($E$2:$E$500,$B$2:$B$500,B267,$C$2:$C$500,C267,$F$2:$F$500,F267,$H$2:$H$500,"Trade estimate"))</f>
        <v/>
      </c>
      <c r="M267" s="12" t="str">
        <f aca="false">IF(OR(J267="",J267&lt;2),"",IF(L267=0,"",(K267-L267)/L267))</f>
        <v/>
      </c>
      <c r="N267" s="13" t="str">
        <f aca="false">IF(B267="","",IF(J267&lt;2,"Needs 2+ trade sources",IF(M267&gt;Lists!$E$2,"CHECK","OK")))</f>
        <v/>
      </c>
      <c r="O267" s="9" t="str">
        <f aca="false">IF(B267="","",IF(J267&lt;2,"Needs 2+ trade sources",IF(M267&lt;=Lists!$E$6,"Good",IF(M267&lt;=Lists!$E$2,"Moderate","Bad"))))</f>
        <v/>
      </c>
    </row>
    <row r="268" customFormat="false" ht="14.25" hidden="false" customHeight="true" outlineLevel="0" collapsed="false">
      <c r="A268" s="6"/>
      <c r="B268" s="7"/>
      <c r="C268" s="8"/>
      <c r="D268" s="9" t="str">
        <f aca="false">IF(OR(B268="",C268=""),"",IFERROR(C268-INDEX(Films!$C$2:$C$100,MATCH(B268,Films!$A$2:$A$100,0))+1,""))</f>
        <v/>
      </c>
      <c r="E268" s="10"/>
      <c r="F268" s="7"/>
      <c r="G268" s="7"/>
      <c r="H268" s="7"/>
      <c r="I268" s="7"/>
      <c r="J268" s="9" t="str">
        <f aca="false">IF(B268="","",COUNTIFS($B$2:$B$500,B268,$C$2:$C$500,C268,$F$2:$F$500,F268,$H$2:$H$500,"Trade estimate"))</f>
        <v/>
      </c>
      <c r="K268" s="11" t="str">
        <f aca="false">IF(OR(J268="",J268=0),"",_xlfn.MAXIFS($E$2:$E$500,$B$2:$B$500,B268,$C$2:$C$500,C268,$F$2:$F$500,F268,$H$2:$H$500,"Trade estimate"))</f>
        <v/>
      </c>
      <c r="L268" s="11" t="str">
        <f aca="false">IF(OR(J268="",J268=0),"",_xlfn.MINIFS($E$2:$E$500,$B$2:$B$500,B268,$C$2:$C$500,C268,$F$2:$F$500,F268,$H$2:$H$500,"Trade estimate"))</f>
        <v/>
      </c>
      <c r="M268" s="12" t="str">
        <f aca="false">IF(OR(J268="",J268&lt;2),"",IF(L268=0,"",(K268-L268)/L268))</f>
        <v/>
      </c>
      <c r="N268" s="13" t="str">
        <f aca="false">IF(B268="","",IF(J268&lt;2,"Needs 2+ trade sources",IF(M268&gt;Lists!$E$2,"CHECK","OK")))</f>
        <v/>
      </c>
      <c r="O268" s="9" t="str">
        <f aca="false">IF(B268="","",IF(J268&lt;2,"Needs 2+ trade sources",IF(M268&lt;=Lists!$E$6,"Good",IF(M268&lt;=Lists!$E$2,"Moderate","Bad"))))</f>
        <v/>
      </c>
    </row>
    <row r="269" customFormat="false" ht="14.25" hidden="false" customHeight="true" outlineLevel="0" collapsed="false">
      <c r="A269" s="6"/>
      <c r="B269" s="7"/>
      <c r="C269" s="8"/>
      <c r="D269" s="9" t="str">
        <f aca="false">IF(OR(B269="",C269=""),"",IFERROR(C269-INDEX(Films!$C$2:$C$100,MATCH(B269,Films!$A$2:$A$100,0))+1,""))</f>
        <v/>
      </c>
      <c r="E269" s="10"/>
      <c r="F269" s="7"/>
      <c r="G269" s="7"/>
      <c r="H269" s="7"/>
      <c r="I269" s="7"/>
      <c r="J269" s="9" t="str">
        <f aca="false">IF(B269="","",COUNTIFS($B$2:$B$500,B269,$C$2:$C$500,C269,$F$2:$F$500,F269,$H$2:$H$500,"Trade estimate"))</f>
        <v/>
      </c>
      <c r="K269" s="11" t="str">
        <f aca="false">IF(OR(J269="",J269=0),"",_xlfn.MAXIFS($E$2:$E$500,$B$2:$B$500,B269,$C$2:$C$500,C269,$F$2:$F$500,F269,$H$2:$H$500,"Trade estimate"))</f>
        <v/>
      </c>
      <c r="L269" s="11" t="str">
        <f aca="false">IF(OR(J269="",J269=0),"",_xlfn.MINIFS($E$2:$E$500,$B$2:$B$500,B269,$C$2:$C$500,C269,$F$2:$F$500,F269,$H$2:$H$500,"Trade estimate"))</f>
        <v/>
      </c>
      <c r="M269" s="12" t="str">
        <f aca="false">IF(OR(J269="",J269&lt;2),"",IF(L269=0,"",(K269-L269)/L269))</f>
        <v/>
      </c>
      <c r="N269" s="13" t="str">
        <f aca="false">IF(B269="","",IF(J269&lt;2,"Needs 2+ trade sources",IF(M269&gt;Lists!$E$2,"CHECK","OK")))</f>
        <v/>
      </c>
      <c r="O269" s="9" t="str">
        <f aca="false">IF(B269="","",IF(J269&lt;2,"Needs 2+ trade sources",IF(M269&lt;=Lists!$E$6,"Good",IF(M269&lt;=Lists!$E$2,"Moderate","Bad"))))</f>
        <v/>
      </c>
    </row>
    <row r="270" customFormat="false" ht="14.25" hidden="false" customHeight="true" outlineLevel="0" collapsed="false">
      <c r="A270" s="6"/>
      <c r="B270" s="7"/>
      <c r="C270" s="8"/>
      <c r="D270" s="9" t="str">
        <f aca="false">IF(OR(B270="",C270=""),"",IFERROR(C270-INDEX(Films!$C$2:$C$100,MATCH(B270,Films!$A$2:$A$100,0))+1,""))</f>
        <v/>
      </c>
      <c r="E270" s="10"/>
      <c r="F270" s="7"/>
      <c r="G270" s="7"/>
      <c r="H270" s="7"/>
      <c r="I270" s="7"/>
      <c r="J270" s="9" t="str">
        <f aca="false">IF(B270="","",COUNTIFS($B$2:$B$500,B270,$C$2:$C$500,C270,$F$2:$F$500,F270,$H$2:$H$500,"Trade estimate"))</f>
        <v/>
      </c>
      <c r="K270" s="11" t="str">
        <f aca="false">IF(OR(J270="",J270=0),"",_xlfn.MAXIFS($E$2:$E$500,$B$2:$B$500,B270,$C$2:$C$500,C270,$F$2:$F$500,F270,$H$2:$H$500,"Trade estimate"))</f>
        <v/>
      </c>
      <c r="L270" s="11" t="str">
        <f aca="false">IF(OR(J270="",J270=0),"",_xlfn.MINIFS($E$2:$E$500,$B$2:$B$500,B270,$C$2:$C$500,C270,$F$2:$F$500,F270,$H$2:$H$500,"Trade estimate"))</f>
        <v/>
      </c>
      <c r="M270" s="12" t="str">
        <f aca="false">IF(OR(J270="",J270&lt;2),"",IF(L270=0,"",(K270-L270)/L270))</f>
        <v/>
      </c>
      <c r="N270" s="13" t="str">
        <f aca="false">IF(B270="","",IF(J270&lt;2,"Needs 2+ trade sources",IF(M270&gt;Lists!$E$2,"CHECK","OK")))</f>
        <v/>
      </c>
      <c r="O270" s="9" t="str">
        <f aca="false">IF(B270="","",IF(J270&lt;2,"Needs 2+ trade sources",IF(M270&lt;=Lists!$E$6,"Good",IF(M270&lt;=Lists!$E$2,"Moderate","Bad"))))</f>
        <v/>
      </c>
    </row>
    <row r="271" customFormat="false" ht="14.25" hidden="false" customHeight="true" outlineLevel="0" collapsed="false">
      <c r="A271" s="6"/>
      <c r="B271" s="7"/>
      <c r="C271" s="8"/>
      <c r="D271" s="9" t="str">
        <f aca="false">IF(OR(B271="",C271=""),"",IFERROR(C271-INDEX(Films!$C$2:$C$100,MATCH(B271,Films!$A$2:$A$100,0))+1,""))</f>
        <v/>
      </c>
      <c r="E271" s="10"/>
      <c r="F271" s="7"/>
      <c r="G271" s="7"/>
      <c r="H271" s="7"/>
      <c r="I271" s="7"/>
      <c r="J271" s="9" t="str">
        <f aca="false">IF(B271="","",COUNTIFS($B$2:$B$500,B271,$C$2:$C$500,C271,$F$2:$F$500,F271,$H$2:$H$500,"Trade estimate"))</f>
        <v/>
      </c>
      <c r="K271" s="11" t="str">
        <f aca="false">IF(OR(J271="",J271=0),"",_xlfn.MAXIFS($E$2:$E$500,$B$2:$B$500,B271,$C$2:$C$500,C271,$F$2:$F$500,F271,$H$2:$H$500,"Trade estimate"))</f>
        <v/>
      </c>
      <c r="L271" s="11" t="str">
        <f aca="false">IF(OR(J271="",J271=0),"",_xlfn.MINIFS($E$2:$E$500,$B$2:$B$500,B271,$C$2:$C$500,C271,$F$2:$F$500,F271,$H$2:$H$500,"Trade estimate"))</f>
        <v/>
      </c>
      <c r="M271" s="12" t="str">
        <f aca="false">IF(OR(J271="",J271&lt;2),"",IF(L271=0,"",(K271-L271)/L271))</f>
        <v/>
      </c>
      <c r="N271" s="13" t="str">
        <f aca="false">IF(B271="","",IF(J271&lt;2,"Needs 2+ trade sources",IF(M271&gt;Lists!$E$2,"CHECK","OK")))</f>
        <v/>
      </c>
      <c r="O271" s="9" t="str">
        <f aca="false">IF(B271="","",IF(J271&lt;2,"Needs 2+ trade sources",IF(M271&lt;=Lists!$E$6,"Good",IF(M271&lt;=Lists!$E$2,"Moderate","Bad"))))</f>
        <v/>
      </c>
    </row>
    <row r="272" customFormat="false" ht="14.25" hidden="false" customHeight="true" outlineLevel="0" collapsed="false">
      <c r="A272" s="6"/>
      <c r="B272" s="7"/>
      <c r="C272" s="8"/>
      <c r="D272" s="9" t="str">
        <f aca="false">IF(OR(B272="",C272=""),"",IFERROR(C272-INDEX(Films!$C$2:$C$100,MATCH(B272,Films!$A$2:$A$100,0))+1,""))</f>
        <v/>
      </c>
      <c r="E272" s="10"/>
      <c r="F272" s="7"/>
      <c r="G272" s="7"/>
      <c r="H272" s="7"/>
      <c r="I272" s="7"/>
      <c r="J272" s="9" t="str">
        <f aca="false">IF(B272="","",COUNTIFS($B$2:$B$500,B272,$C$2:$C$500,C272,$F$2:$F$500,F272,$H$2:$H$500,"Trade estimate"))</f>
        <v/>
      </c>
      <c r="K272" s="11" t="str">
        <f aca="false">IF(OR(J272="",J272=0),"",_xlfn.MAXIFS($E$2:$E$500,$B$2:$B$500,B272,$C$2:$C$500,C272,$F$2:$F$500,F272,$H$2:$H$500,"Trade estimate"))</f>
        <v/>
      </c>
      <c r="L272" s="11" t="str">
        <f aca="false">IF(OR(J272="",J272=0),"",_xlfn.MINIFS($E$2:$E$500,$B$2:$B$500,B272,$C$2:$C$500,C272,$F$2:$F$500,F272,$H$2:$H$500,"Trade estimate"))</f>
        <v/>
      </c>
      <c r="M272" s="12" t="str">
        <f aca="false">IF(OR(J272="",J272&lt;2),"",IF(L272=0,"",(K272-L272)/L272))</f>
        <v/>
      </c>
      <c r="N272" s="13" t="str">
        <f aca="false">IF(B272="","",IF(J272&lt;2,"Needs 2+ trade sources",IF(M272&gt;Lists!$E$2,"CHECK","OK")))</f>
        <v/>
      </c>
      <c r="O272" s="9" t="str">
        <f aca="false">IF(B272="","",IF(J272&lt;2,"Needs 2+ trade sources",IF(M272&lt;=Lists!$E$6,"Good",IF(M272&lt;=Lists!$E$2,"Moderate","Bad"))))</f>
        <v/>
      </c>
    </row>
    <row r="273" customFormat="false" ht="14.25" hidden="false" customHeight="true" outlineLevel="0" collapsed="false">
      <c r="A273" s="6"/>
      <c r="B273" s="7"/>
      <c r="C273" s="8"/>
      <c r="D273" s="9" t="str">
        <f aca="false">IF(OR(B273="",C273=""),"",IFERROR(C273-INDEX(Films!$C$2:$C$100,MATCH(B273,Films!$A$2:$A$100,0))+1,""))</f>
        <v/>
      </c>
      <c r="E273" s="10"/>
      <c r="F273" s="7"/>
      <c r="G273" s="7"/>
      <c r="H273" s="7"/>
      <c r="I273" s="7"/>
      <c r="J273" s="9" t="str">
        <f aca="false">IF(B273="","",COUNTIFS($B$2:$B$500,B273,$C$2:$C$500,C273,$F$2:$F$500,F273,$H$2:$H$500,"Trade estimate"))</f>
        <v/>
      </c>
      <c r="K273" s="11" t="str">
        <f aca="false">IF(OR(J273="",J273=0),"",_xlfn.MAXIFS($E$2:$E$500,$B$2:$B$500,B273,$C$2:$C$500,C273,$F$2:$F$500,F273,$H$2:$H$500,"Trade estimate"))</f>
        <v/>
      </c>
      <c r="L273" s="11" t="str">
        <f aca="false">IF(OR(J273="",J273=0),"",_xlfn.MINIFS($E$2:$E$500,$B$2:$B$500,B273,$C$2:$C$500,C273,$F$2:$F$500,F273,$H$2:$H$500,"Trade estimate"))</f>
        <v/>
      </c>
      <c r="M273" s="12" t="str">
        <f aca="false">IF(OR(J273="",J273&lt;2),"",IF(L273=0,"",(K273-L273)/L273))</f>
        <v/>
      </c>
      <c r="N273" s="13" t="str">
        <f aca="false">IF(B273="","",IF(J273&lt;2,"Needs 2+ trade sources",IF(M273&gt;Lists!$E$2,"CHECK","OK")))</f>
        <v/>
      </c>
      <c r="O273" s="9" t="str">
        <f aca="false">IF(B273="","",IF(J273&lt;2,"Needs 2+ trade sources",IF(M273&lt;=Lists!$E$6,"Good",IF(M273&lt;=Lists!$E$2,"Moderate","Bad"))))</f>
        <v/>
      </c>
    </row>
    <row r="274" customFormat="false" ht="14.25" hidden="false" customHeight="true" outlineLevel="0" collapsed="false">
      <c r="A274" s="6"/>
      <c r="B274" s="7"/>
      <c r="C274" s="8"/>
      <c r="D274" s="9" t="str">
        <f aca="false">IF(OR(B274="",C274=""),"",IFERROR(C274-INDEX(Films!$C$2:$C$100,MATCH(B274,Films!$A$2:$A$100,0))+1,""))</f>
        <v/>
      </c>
      <c r="E274" s="10"/>
      <c r="F274" s="7"/>
      <c r="G274" s="7"/>
      <c r="H274" s="7"/>
      <c r="I274" s="7"/>
      <c r="J274" s="9" t="str">
        <f aca="false">IF(B274="","",COUNTIFS($B$2:$B$500,B274,$C$2:$C$500,C274,$F$2:$F$500,F274,$H$2:$H$500,"Trade estimate"))</f>
        <v/>
      </c>
      <c r="K274" s="11" t="str">
        <f aca="false">IF(OR(J274="",J274=0),"",_xlfn.MAXIFS($E$2:$E$500,$B$2:$B$500,B274,$C$2:$C$500,C274,$F$2:$F$500,F274,$H$2:$H$500,"Trade estimate"))</f>
        <v/>
      </c>
      <c r="L274" s="11" t="str">
        <f aca="false">IF(OR(J274="",J274=0),"",_xlfn.MINIFS($E$2:$E$500,$B$2:$B$500,B274,$C$2:$C$500,C274,$F$2:$F$500,F274,$H$2:$H$500,"Trade estimate"))</f>
        <v/>
      </c>
      <c r="M274" s="12" t="str">
        <f aca="false">IF(OR(J274="",J274&lt;2),"",IF(L274=0,"",(K274-L274)/L274))</f>
        <v/>
      </c>
      <c r="N274" s="13" t="str">
        <f aca="false">IF(B274="","",IF(J274&lt;2,"Needs 2+ trade sources",IF(M274&gt;Lists!$E$2,"CHECK","OK")))</f>
        <v/>
      </c>
      <c r="O274" s="9" t="str">
        <f aca="false">IF(B274="","",IF(J274&lt;2,"Needs 2+ trade sources",IF(M274&lt;=Lists!$E$6,"Good",IF(M274&lt;=Lists!$E$2,"Moderate","Bad"))))</f>
        <v/>
      </c>
    </row>
    <row r="275" customFormat="false" ht="14.25" hidden="false" customHeight="true" outlineLevel="0" collapsed="false">
      <c r="A275" s="6"/>
      <c r="B275" s="7"/>
      <c r="C275" s="8"/>
      <c r="D275" s="9" t="str">
        <f aca="false">IF(OR(B275="",C275=""),"",IFERROR(C275-INDEX(Films!$C$2:$C$100,MATCH(B275,Films!$A$2:$A$100,0))+1,""))</f>
        <v/>
      </c>
      <c r="E275" s="10"/>
      <c r="F275" s="7"/>
      <c r="G275" s="7"/>
      <c r="H275" s="7"/>
      <c r="I275" s="7"/>
      <c r="J275" s="9" t="str">
        <f aca="false">IF(B275="","",COUNTIFS($B$2:$B$500,B275,$C$2:$C$500,C275,$F$2:$F$500,F275,$H$2:$H$500,"Trade estimate"))</f>
        <v/>
      </c>
      <c r="K275" s="11" t="str">
        <f aca="false">IF(OR(J275="",J275=0),"",_xlfn.MAXIFS($E$2:$E$500,$B$2:$B$500,B275,$C$2:$C$500,C275,$F$2:$F$500,F275,$H$2:$H$500,"Trade estimate"))</f>
        <v/>
      </c>
      <c r="L275" s="11" t="str">
        <f aca="false">IF(OR(J275="",J275=0),"",_xlfn.MINIFS($E$2:$E$500,$B$2:$B$500,B275,$C$2:$C$500,C275,$F$2:$F$500,F275,$H$2:$H$500,"Trade estimate"))</f>
        <v/>
      </c>
      <c r="M275" s="12" t="str">
        <f aca="false">IF(OR(J275="",J275&lt;2),"",IF(L275=0,"",(K275-L275)/L275))</f>
        <v/>
      </c>
      <c r="N275" s="13" t="str">
        <f aca="false">IF(B275="","",IF(J275&lt;2,"Needs 2+ trade sources",IF(M275&gt;Lists!$E$2,"CHECK","OK")))</f>
        <v/>
      </c>
      <c r="O275" s="9" t="str">
        <f aca="false">IF(B275="","",IF(J275&lt;2,"Needs 2+ trade sources",IF(M275&lt;=Lists!$E$6,"Good",IF(M275&lt;=Lists!$E$2,"Moderate","Bad"))))</f>
        <v/>
      </c>
    </row>
    <row r="276" customFormat="false" ht="14.25" hidden="false" customHeight="true" outlineLevel="0" collapsed="false">
      <c r="A276" s="6"/>
      <c r="B276" s="7"/>
      <c r="C276" s="8"/>
      <c r="D276" s="9" t="str">
        <f aca="false">IF(OR(B276="",C276=""),"",IFERROR(C276-INDEX(Films!$C$2:$C$100,MATCH(B276,Films!$A$2:$A$100,0))+1,""))</f>
        <v/>
      </c>
      <c r="E276" s="10"/>
      <c r="F276" s="7"/>
      <c r="G276" s="7"/>
      <c r="H276" s="7"/>
      <c r="I276" s="7"/>
      <c r="J276" s="9" t="str">
        <f aca="false">IF(B276="","",COUNTIFS($B$2:$B$500,B276,$C$2:$C$500,C276,$F$2:$F$500,F276,$H$2:$H$500,"Trade estimate"))</f>
        <v/>
      </c>
      <c r="K276" s="11" t="str">
        <f aca="false">IF(OR(J276="",J276=0),"",_xlfn.MAXIFS($E$2:$E$500,$B$2:$B$500,B276,$C$2:$C$500,C276,$F$2:$F$500,F276,$H$2:$H$500,"Trade estimate"))</f>
        <v/>
      </c>
      <c r="L276" s="11" t="str">
        <f aca="false">IF(OR(J276="",J276=0),"",_xlfn.MINIFS($E$2:$E$500,$B$2:$B$500,B276,$C$2:$C$500,C276,$F$2:$F$500,F276,$H$2:$H$500,"Trade estimate"))</f>
        <v/>
      </c>
      <c r="M276" s="12" t="str">
        <f aca="false">IF(OR(J276="",J276&lt;2),"",IF(L276=0,"",(K276-L276)/L276))</f>
        <v/>
      </c>
      <c r="N276" s="13" t="str">
        <f aca="false">IF(B276="","",IF(J276&lt;2,"Needs 2+ trade sources",IF(M276&gt;Lists!$E$2,"CHECK","OK")))</f>
        <v/>
      </c>
      <c r="O276" s="9" t="str">
        <f aca="false">IF(B276="","",IF(J276&lt;2,"Needs 2+ trade sources",IF(M276&lt;=Lists!$E$6,"Good",IF(M276&lt;=Lists!$E$2,"Moderate","Bad"))))</f>
        <v/>
      </c>
    </row>
    <row r="277" customFormat="false" ht="14.25" hidden="false" customHeight="true" outlineLevel="0" collapsed="false">
      <c r="A277" s="6"/>
      <c r="B277" s="7"/>
      <c r="C277" s="8"/>
      <c r="D277" s="9" t="str">
        <f aca="false">IF(OR(B277="",C277=""),"",IFERROR(C277-INDEX(Films!$C$2:$C$100,MATCH(B277,Films!$A$2:$A$100,0))+1,""))</f>
        <v/>
      </c>
      <c r="E277" s="10"/>
      <c r="F277" s="7"/>
      <c r="G277" s="7"/>
      <c r="H277" s="7"/>
      <c r="I277" s="7"/>
      <c r="J277" s="9" t="str">
        <f aca="false">IF(B277="","",COUNTIFS($B$2:$B$500,B277,$C$2:$C$500,C277,$F$2:$F$500,F277,$H$2:$H$500,"Trade estimate"))</f>
        <v/>
      </c>
      <c r="K277" s="11" t="str">
        <f aca="false">IF(OR(J277="",J277=0),"",_xlfn.MAXIFS($E$2:$E$500,$B$2:$B$500,B277,$C$2:$C$500,C277,$F$2:$F$500,F277,$H$2:$H$500,"Trade estimate"))</f>
        <v/>
      </c>
      <c r="L277" s="11" t="str">
        <f aca="false">IF(OR(J277="",J277=0),"",_xlfn.MINIFS($E$2:$E$500,$B$2:$B$500,B277,$C$2:$C$500,C277,$F$2:$F$500,F277,$H$2:$H$500,"Trade estimate"))</f>
        <v/>
      </c>
      <c r="M277" s="12" t="str">
        <f aca="false">IF(OR(J277="",J277&lt;2),"",IF(L277=0,"",(K277-L277)/L277))</f>
        <v/>
      </c>
      <c r="N277" s="13" t="str">
        <f aca="false">IF(B277="","",IF(J277&lt;2,"Needs 2+ trade sources",IF(M277&gt;Lists!$E$2,"CHECK","OK")))</f>
        <v/>
      </c>
      <c r="O277" s="9" t="str">
        <f aca="false">IF(B277="","",IF(J277&lt;2,"Needs 2+ trade sources",IF(M277&lt;=Lists!$E$6,"Good",IF(M277&lt;=Lists!$E$2,"Moderate","Bad"))))</f>
        <v/>
      </c>
    </row>
    <row r="278" customFormat="false" ht="14.25" hidden="false" customHeight="true" outlineLevel="0" collapsed="false">
      <c r="A278" s="6"/>
      <c r="B278" s="7"/>
      <c r="C278" s="8"/>
      <c r="D278" s="9" t="str">
        <f aca="false">IF(OR(B278="",C278=""),"",IFERROR(C278-INDEX(Films!$C$2:$C$100,MATCH(B278,Films!$A$2:$A$100,0))+1,""))</f>
        <v/>
      </c>
      <c r="E278" s="10"/>
      <c r="F278" s="7"/>
      <c r="G278" s="7"/>
      <c r="H278" s="7"/>
      <c r="I278" s="7"/>
      <c r="J278" s="9" t="str">
        <f aca="false">IF(B278="","",COUNTIFS($B$2:$B$500,B278,$C$2:$C$500,C278,$F$2:$F$500,F278,$H$2:$H$500,"Trade estimate"))</f>
        <v/>
      </c>
      <c r="K278" s="11" t="str">
        <f aca="false">IF(OR(J278="",J278=0),"",_xlfn.MAXIFS($E$2:$E$500,$B$2:$B$500,B278,$C$2:$C$500,C278,$F$2:$F$500,F278,$H$2:$H$500,"Trade estimate"))</f>
        <v/>
      </c>
      <c r="L278" s="11" t="str">
        <f aca="false">IF(OR(J278="",J278=0),"",_xlfn.MINIFS($E$2:$E$500,$B$2:$B$500,B278,$C$2:$C$500,C278,$F$2:$F$500,F278,$H$2:$H$500,"Trade estimate"))</f>
        <v/>
      </c>
      <c r="M278" s="12" t="str">
        <f aca="false">IF(OR(J278="",J278&lt;2),"",IF(L278=0,"",(K278-L278)/L278))</f>
        <v/>
      </c>
      <c r="N278" s="13" t="str">
        <f aca="false">IF(B278="","",IF(J278&lt;2,"Needs 2+ trade sources",IF(M278&gt;Lists!$E$2,"CHECK","OK")))</f>
        <v/>
      </c>
      <c r="O278" s="9" t="str">
        <f aca="false">IF(B278="","",IF(J278&lt;2,"Needs 2+ trade sources",IF(M278&lt;=Lists!$E$6,"Good",IF(M278&lt;=Lists!$E$2,"Moderate","Bad"))))</f>
        <v/>
      </c>
    </row>
    <row r="279" customFormat="false" ht="14.25" hidden="false" customHeight="true" outlineLevel="0" collapsed="false">
      <c r="A279" s="6"/>
      <c r="B279" s="7"/>
      <c r="C279" s="8"/>
      <c r="D279" s="9" t="str">
        <f aca="false">IF(OR(B279="",C279=""),"",IFERROR(C279-INDEX(Films!$C$2:$C$100,MATCH(B279,Films!$A$2:$A$100,0))+1,""))</f>
        <v/>
      </c>
      <c r="E279" s="10"/>
      <c r="F279" s="7"/>
      <c r="G279" s="7"/>
      <c r="H279" s="7"/>
      <c r="I279" s="7"/>
      <c r="J279" s="9" t="str">
        <f aca="false">IF(B279="","",COUNTIFS($B$2:$B$500,B279,$C$2:$C$500,C279,$F$2:$F$500,F279,$H$2:$H$500,"Trade estimate"))</f>
        <v/>
      </c>
      <c r="K279" s="11" t="str">
        <f aca="false">IF(OR(J279="",J279=0),"",_xlfn.MAXIFS($E$2:$E$500,$B$2:$B$500,B279,$C$2:$C$500,C279,$F$2:$F$500,F279,$H$2:$H$500,"Trade estimate"))</f>
        <v/>
      </c>
      <c r="L279" s="11" t="str">
        <f aca="false">IF(OR(J279="",J279=0),"",_xlfn.MINIFS($E$2:$E$500,$B$2:$B$500,B279,$C$2:$C$500,C279,$F$2:$F$500,F279,$H$2:$H$500,"Trade estimate"))</f>
        <v/>
      </c>
      <c r="M279" s="12" t="str">
        <f aca="false">IF(OR(J279="",J279&lt;2),"",IF(L279=0,"",(K279-L279)/L279))</f>
        <v/>
      </c>
      <c r="N279" s="13" t="str">
        <f aca="false">IF(B279="","",IF(J279&lt;2,"Needs 2+ trade sources",IF(M279&gt;Lists!$E$2,"CHECK","OK")))</f>
        <v/>
      </c>
      <c r="O279" s="9" t="str">
        <f aca="false">IF(B279="","",IF(J279&lt;2,"Needs 2+ trade sources",IF(M279&lt;=Lists!$E$6,"Good",IF(M279&lt;=Lists!$E$2,"Moderate","Bad"))))</f>
        <v/>
      </c>
    </row>
    <row r="280" customFormat="false" ht="14.25" hidden="false" customHeight="true" outlineLevel="0" collapsed="false">
      <c r="A280" s="6"/>
      <c r="B280" s="7"/>
      <c r="C280" s="8"/>
      <c r="D280" s="9" t="str">
        <f aca="false">IF(OR(B280="",C280=""),"",IFERROR(C280-INDEX(Films!$C$2:$C$100,MATCH(B280,Films!$A$2:$A$100,0))+1,""))</f>
        <v/>
      </c>
      <c r="E280" s="10"/>
      <c r="F280" s="7"/>
      <c r="G280" s="7"/>
      <c r="H280" s="7"/>
      <c r="I280" s="7"/>
      <c r="J280" s="9" t="str">
        <f aca="false">IF(B280="","",COUNTIFS($B$2:$B$500,B280,$C$2:$C$500,C280,$F$2:$F$500,F280,$H$2:$H$500,"Trade estimate"))</f>
        <v/>
      </c>
      <c r="K280" s="11" t="str">
        <f aca="false">IF(OR(J280="",J280=0),"",_xlfn.MAXIFS($E$2:$E$500,$B$2:$B$500,B280,$C$2:$C$500,C280,$F$2:$F$500,F280,$H$2:$H$500,"Trade estimate"))</f>
        <v/>
      </c>
      <c r="L280" s="11" t="str">
        <f aca="false">IF(OR(J280="",J280=0),"",_xlfn.MINIFS($E$2:$E$500,$B$2:$B$500,B280,$C$2:$C$500,C280,$F$2:$F$500,F280,$H$2:$H$500,"Trade estimate"))</f>
        <v/>
      </c>
      <c r="M280" s="12" t="str">
        <f aca="false">IF(OR(J280="",J280&lt;2),"",IF(L280=0,"",(K280-L280)/L280))</f>
        <v/>
      </c>
      <c r="N280" s="13" t="str">
        <f aca="false">IF(B280="","",IF(J280&lt;2,"Needs 2+ trade sources",IF(M280&gt;Lists!$E$2,"CHECK","OK")))</f>
        <v/>
      </c>
      <c r="O280" s="9" t="str">
        <f aca="false">IF(B280="","",IF(J280&lt;2,"Needs 2+ trade sources",IF(M280&lt;=Lists!$E$6,"Good",IF(M280&lt;=Lists!$E$2,"Moderate","Bad"))))</f>
        <v/>
      </c>
    </row>
    <row r="281" customFormat="false" ht="14.25" hidden="false" customHeight="true" outlineLevel="0" collapsed="false">
      <c r="A281" s="6"/>
      <c r="B281" s="7"/>
      <c r="C281" s="8"/>
      <c r="D281" s="9" t="str">
        <f aca="false">IF(OR(B281="",C281=""),"",IFERROR(C281-INDEX(Films!$C$2:$C$100,MATCH(B281,Films!$A$2:$A$100,0))+1,""))</f>
        <v/>
      </c>
      <c r="E281" s="10"/>
      <c r="F281" s="7"/>
      <c r="G281" s="7"/>
      <c r="H281" s="7"/>
      <c r="I281" s="7"/>
      <c r="J281" s="9" t="str">
        <f aca="false">IF(B281="","",COUNTIFS($B$2:$B$500,B281,$C$2:$C$500,C281,$F$2:$F$500,F281,$H$2:$H$500,"Trade estimate"))</f>
        <v/>
      </c>
      <c r="K281" s="11" t="str">
        <f aca="false">IF(OR(J281="",J281=0),"",_xlfn.MAXIFS($E$2:$E$500,$B$2:$B$500,B281,$C$2:$C$500,C281,$F$2:$F$500,F281,$H$2:$H$500,"Trade estimate"))</f>
        <v/>
      </c>
      <c r="L281" s="11" t="str">
        <f aca="false">IF(OR(J281="",J281=0),"",_xlfn.MINIFS($E$2:$E$500,$B$2:$B$500,B281,$C$2:$C$500,C281,$F$2:$F$500,F281,$H$2:$H$500,"Trade estimate"))</f>
        <v/>
      </c>
      <c r="M281" s="12" t="str">
        <f aca="false">IF(OR(J281="",J281&lt;2),"",IF(L281=0,"",(K281-L281)/L281))</f>
        <v/>
      </c>
      <c r="N281" s="13" t="str">
        <f aca="false">IF(B281="","",IF(J281&lt;2,"Needs 2+ trade sources",IF(M281&gt;Lists!$E$2,"CHECK","OK")))</f>
        <v/>
      </c>
      <c r="O281" s="9" t="str">
        <f aca="false">IF(B281="","",IF(J281&lt;2,"Needs 2+ trade sources",IF(M281&lt;=Lists!$E$6,"Good",IF(M281&lt;=Lists!$E$2,"Moderate","Bad"))))</f>
        <v/>
      </c>
    </row>
    <row r="282" customFormat="false" ht="14.25" hidden="false" customHeight="true" outlineLevel="0" collapsed="false">
      <c r="A282" s="6"/>
      <c r="B282" s="7"/>
      <c r="C282" s="8"/>
      <c r="D282" s="9" t="str">
        <f aca="false">IF(OR(B282="",C282=""),"",IFERROR(C282-INDEX(Films!$C$2:$C$100,MATCH(B282,Films!$A$2:$A$100,0))+1,""))</f>
        <v/>
      </c>
      <c r="E282" s="10"/>
      <c r="F282" s="7"/>
      <c r="G282" s="7"/>
      <c r="H282" s="7"/>
      <c r="I282" s="7"/>
      <c r="J282" s="9" t="str">
        <f aca="false">IF(B282="","",COUNTIFS($B$2:$B$500,B282,$C$2:$C$500,C282,$F$2:$F$500,F282,$H$2:$H$500,"Trade estimate"))</f>
        <v/>
      </c>
      <c r="K282" s="11" t="str">
        <f aca="false">IF(OR(J282="",J282=0),"",_xlfn.MAXIFS($E$2:$E$500,$B$2:$B$500,B282,$C$2:$C$500,C282,$F$2:$F$500,F282,$H$2:$H$500,"Trade estimate"))</f>
        <v/>
      </c>
      <c r="L282" s="11" t="str">
        <f aca="false">IF(OR(J282="",J282=0),"",_xlfn.MINIFS($E$2:$E$500,$B$2:$B$500,B282,$C$2:$C$500,C282,$F$2:$F$500,F282,$H$2:$H$500,"Trade estimate"))</f>
        <v/>
      </c>
      <c r="M282" s="12" t="str">
        <f aca="false">IF(OR(J282="",J282&lt;2),"",IF(L282=0,"",(K282-L282)/L282))</f>
        <v/>
      </c>
      <c r="N282" s="13" t="str">
        <f aca="false">IF(B282="","",IF(J282&lt;2,"Needs 2+ trade sources",IF(M282&gt;Lists!$E$2,"CHECK","OK")))</f>
        <v/>
      </c>
      <c r="O282" s="9" t="str">
        <f aca="false">IF(B282="","",IF(J282&lt;2,"Needs 2+ trade sources",IF(M282&lt;=Lists!$E$6,"Good",IF(M282&lt;=Lists!$E$2,"Moderate","Bad"))))</f>
        <v/>
      </c>
    </row>
    <row r="283" customFormat="false" ht="14.25" hidden="false" customHeight="true" outlineLevel="0" collapsed="false">
      <c r="A283" s="6"/>
      <c r="B283" s="7"/>
      <c r="C283" s="8"/>
      <c r="D283" s="9" t="str">
        <f aca="false">IF(OR(B283="",C283=""),"",IFERROR(C283-INDEX(Films!$C$2:$C$100,MATCH(B283,Films!$A$2:$A$100,0))+1,""))</f>
        <v/>
      </c>
      <c r="E283" s="10"/>
      <c r="F283" s="7"/>
      <c r="G283" s="7"/>
      <c r="H283" s="7"/>
      <c r="I283" s="7"/>
      <c r="J283" s="9" t="str">
        <f aca="false">IF(B283="","",COUNTIFS($B$2:$B$500,B283,$C$2:$C$500,C283,$F$2:$F$500,F283,$H$2:$H$500,"Trade estimate"))</f>
        <v/>
      </c>
      <c r="K283" s="11" t="str">
        <f aca="false">IF(OR(J283="",J283=0),"",_xlfn.MAXIFS($E$2:$E$500,$B$2:$B$500,B283,$C$2:$C$500,C283,$F$2:$F$500,F283,$H$2:$H$500,"Trade estimate"))</f>
        <v/>
      </c>
      <c r="L283" s="11" t="str">
        <f aca="false">IF(OR(J283="",J283=0),"",_xlfn.MINIFS($E$2:$E$500,$B$2:$B$500,B283,$C$2:$C$500,C283,$F$2:$F$500,F283,$H$2:$H$500,"Trade estimate"))</f>
        <v/>
      </c>
      <c r="M283" s="12" t="str">
        <f aca="false">IF(OR(J283="",J283&lt;2),"",IF(L283=0,"",(K283-L283)/L283))</f>
        <v/>
      </c>
      <c r="N283" s="13" t="str">
        <f aca="false">IF(B283="","",IF(J283&lt;2,"Needs 2+ trade sources",IF(M283&gt;Lists!$E$2,"CHECK","OK")))</f>
        <v/>
      </c>
      <c r="O283" s="9" t="str">
        <f aca="false">IF(B283="","",IF(J283&lt;2,"Needs 2+ trade sources",IF(M283&lt;=Lists!$E$6,"Good",IF(M283&lt;=Lists!$E$2,"Moderate","Bad"))))</f>
        <v/>
      </c>
    </row>
    <row r="284" customFormat="false" ht="14.25" hidden="false" customHeight="true" outlineLevel="0" collapsed="false">
      <c r="A284" s="6"/>
      <c r="B284" s="7"/>
      <c r="C284" s="8"/>
      <c r="D284" s="9" t="str">
        <f aca="false">IF(OR(B284="",C284=""),"",IFERROR(C284-INDEX(Films!$C$2:$C$100,MATCH(B284,Films!$A$2:$A$100,0))+1,""))</f>
        <v/>
      </c>
      <c r="E284" s="10"/>
      <c r="F284" s="7"/>
      <c r="G284" s="7"/>
      <c r="H284" s="7"/>
      <c r="I284" s="7"/>
      <c r="J284" s="9" t="str">
        <f aca="false">IF(B284="","",COUNTIFS($B$2:$B$500,B284,$C$2:$C$500,C284,$F$2:$F$500,F284,$H$2:$H$500,"Trade estimate"))</f>
        <v/>
      </c>
      <c r="K284" s="11" t="str">
        <f aca="false">IF(OR(J284="",J284=0),"",_xlfn.MAXIFS($E$2:$E$500,$B$2:$B$500,B284,$C$2:$C$500,C284,$F$2:$F$500,F284,$H$2:$H$500,"Trade estimate"))</f>
        <v/>
      </c>
      <c r="L284" s="11" t="str">
        <f aca="false">IF(OR(J284="",J284=0),"",_xlfn.MINIFS($E$2:$E$500,$B$2:$B$500,B284,$C$2:$C$500,C284,$F$2:$F$500,F284,$H$2:$H$500,"Trade estimate"))</f>
        <v/>
      </c>
      <c r="M284" s="12" t="str">
        <f aca="false">IF(OR(J284="",J284&lt;2),"",IF(L284=0,"",(K284-L284)/L284))</f>
        <v/>
      </c>
      <c r="N284" s="13" t="str">
        <f aca="false">IF(B284="","",IF(J284&lt;2,"Needs 2+ trade sources",IF(M284&gt;Lists!$E$2,"CHECK","OK")))</f>
        <v/>
      </c>
      <c r="O284" s="9" t="str">
        <f aca="false">IF(B284="","",IF(J284&lt;2,"Needs 2+ trade sources",IF(M284&lt;=Lists!$E$6,"Good",IF(M284&lt;=Lists!$E$2,"Moderate","Bad"))))</f>
        <v/>
      </c>
    </row>
    <row r="285" customFormat="false" ht="14.25" hidden="false" customHeight="true" outlineLevel="0" collapsed="false">
      <c r="A285" s="6"/>
      <c r="B285" s="7"/>
      <c r="C285" s="8"/>
      <c r="D285" s="9" t="str">
        <f aca="false">IF(OR(B285="",C285=""),"",IFERROR(C285-INDEX(Films!$C$2:$C$100,MATCH(B285,Films!$A$2:$A$100,0))+1,""))</f>
        <v/>
      </c>
      <c r="E285" s="10"/>
      <c r="F285" s="7"/>
      <c r="G285" s="7"/>
      <c r="H285" s="7"/>
      <c r="I285" s="7"/>
      <c r="J285" s="9" t="str">
        <f aca="false">IF(B285="","",COUNTIFS($B$2:$B$500,B285,$C$2:$C$500,C285,$F$2:$F$500,F285,$H$2:$H$500,"Trade estimate"))</f>
        <v/>
      </c>
      <c r="K285" s="11" t="str">
        <f aca="false">IF(OR(J285="",J285=0),"",_xlfn.MAXIFS($E$2:$E$500,$B$2:$B$500,B285,$C$2:$C$500,C285,$F$2:$F$500,F285,$H$2:$H$500,"Trade estimate"))</f>
        <v/>
      </c>
      <c r="L285" s="11" t="str">
        <f aca="false">IF(OR(J285="",J285=0),"",_xlfn.MINIFS($E$2:$E$500,$B$2:$B$500,B285,$C$2:$C$500,C285,$F$2:$F$500,F285,$H$2:$H$500,"Trade estimate"))</f>
        <v/>
      </c>
      <c r="M285" s="12" t="str">
        <f aca="false">IF(OR(J285="",J285&lt;2),"",IF(L285=0,"",(K285-L285)/L285))</f>
        <v/>
      </c>
      <c r="N285" s="13" t="str">
        <f aca="false">IF(B285="","",IF(J285&lt;2,"Needs 2+ trade sources",IF(M285&gt;Lists!$E$2,"CHECK","OK")))</f>
        <v/>
      </c>
      <c r="O285" s="9" t="str">
        <f aca="false">IF(B285="","",IF(J285&lt;2,"Needs 2+ trade sources",IF(M285&lt;=Lists!$E$6,"Good",IF(M285&lt;=Lists!$E$2,"Moderate","Bad"))))</f>
        <v/>
      </c>
    </row>
    <row r="286" customFormat="false" ht="14.25" hidden="false" customHeight="true" outlineLevel="0" collapsed="false">
      <c r="A286" s="6"/>
      <c r="B286" s="7"/>
      <c r="C286" s="8"/>
      <c r="D286" s="9" t="str">
        <f aca="false">IF(OR(B286="",C286=""),"",IFERROR(C286-INDEX(Films!$C$2:$C$100,MATCH(B286,Films!$A$2:$A$100,0))+1,""))</f>
        <v/>
      </c>
      <c r="E286" s="10"/>
      <c r="F286" s="7"/>
      <c r="G286" s="7"/>
      <c r="H286" s="7"/>
      <c r="I286" s="7"/>
      <c r="J286" s="9" t="str">
        <f aca="false">IF(B286="","",COUNTIFS($B$2:$B$500,B286,$C$2:$C$500,C286,$F$2:$F$500,F286,$H$2:$H$500,"Trade estimate"))</f>
        <v/>
      </c>
      <c r="K286" s="11" t="str">
        <f aca="false">IF(OR(J286="",J286=0),"",_xlfn.MAXIFS($E$2:$E$500,$B$2:$B$500,B286,$C$2:$C$500,C286,$F$2:$F$500,F286,$H$2:$H$500,"Trade estimate"))</f>
        <v/>
      </c>
      <c r="L286" s="11" t="str">
        <f aca="false">IF(OR(J286="",J286=0),"",_xlfn.MINIFS($E$2:$E$500,$B$2:$B$500,B286,$C$2:$C$500,C286,$F$2:$F$500,F286,$H$2:$H$500,"Trade estimate"))</f>
        <v/>
      </c>
      <c r="M286" s="12" t="str">
        <f aca="false">IF(OR(J286="",J286&lt;2),"",IF(L286=0,"",(K286-L286)/L286))</f>
        <v/>
      </c>
      <c r="N286" s="13" t="str">
        <f aca="false">IF(B286="","",IF(J286&lt;2,"Needs 2+ trade sources",IF(M286&gt;Lists!$E$2,"CHECK","OK")))</f>
        <v/>
      </c>
      <c r="O286" s="9" t="str">
        <f aca="false">IF(B286="","",IF(J286&lt;2,"Needs 2+ trade sources",IF(M286&lt;=Lists!$E$6,"Good",IF(M286&lt;=Lists!$E$2,"Moderate","Bad"))))</f>
        <v/>
      </c>
    </row>
    <row r="287" customFormat="false" ht="14.25" hidden="false" customHeight="true" outlineLevel="0" collapsed="false">
      <c r="A287" s="6"/>
      <c r="B287" s="7"/>
      <c r="C287" s="8"/>
      <c r="D287" s="9" t="str">
        <f aca="false">IF(OR(B287="",C287=""),"",IFERROR(C287-INDEX(Films!$C$2:$C$100,MATCH(B287,Films!$A$2:$A$100,0))+1,""))</f>
        <v/>
      </c>
      <c r="E287" s="10"/>
      <c r="F287" s="7"/>
      <c r="G287" s="7"/>
      <c r="H287" s="7"/>
      <c r="I287" s="7"/>
      <c r="J287" s="9" t="str">
        <f aca="false">IF(B287="","",COUNTIFS($B$2:$B$500,B287,$C$2:$C$500,C287,$F$2:$F$500,F287,$H$2:$H$500,"Trade estimate"))</f>
        <v/>
      </c>
      <c r="K287" s="11" t="str">
        <f aca="false">IF(OR(J287="",J287=0),"",_xlfn.MAXIFS($E$2:$E$500,$B$2:$B$500,B287,$C$2:$C$500,C287,$F$2:$F$500,F287,$H$2:$H$500,"Trade estimate"))</f>
        <v/>
      </c>
      <c r="L287" s="11" t="str">
        <f aca="false">IF(OR(J287="",J287=0),"",_xlfn.MINIFS($E$2:$E$500,$B$2:$B$500,B287,$C$2:$C$500,C287,$F$2:$F$500,F287,$H$2:$H$500,"Trade estimate"))</f>
        <v/>
      </c>
      <c r="M287" s="12" t="str">
        <f aca="false">IF(OR(J287="",J287&lt;2),"",IF(L287=0,"",(K287-L287)/L287))</f>
        <v/>
      </c>
      <c r="N287" s="13" t="str">
        <f aca="false">IF(B287="","",IF(J287&lt;2,"Needs 2+ trade sources",IF(M287&gt;Lists!$E$2,"CHECK","OK")))</f>
        <v/>
      </c>
      <c r="O287" s="9" t="str">
        <f aca="false">IF(B287="","",IF(J287&lt;2,"Needs 2+ trade sources",IF(M287&lt;=Lists!$E$6,"Good",IF(M287&lt;=Lists!$E$2,"Moderate","Bad"))))</f>
        <v/>
      </c>
    </row>
    <row r="288" customFormat="false" ht="14.25" hidden="false" customHeight="true" outlineLevel="0" collapsed="false">
      <c r="A288" s="6"/>
      <c r="B288" s="7"/>
      <c r="C288" s="8"/>
      <c r="D288" s="9" t="str">
        <f aca="false">IF(OR(B288="",C288=""),"",IFERROR(C288-INDEX(Films!$C$2:$C$100,MATCH(B288,Films!$A$2:$A$100,0))+1,""))</f>
        <v/>
      </c>
      <c r="E288" s="10"/>
      <c r="F288" s="7"/>
      <c r="G288" s="7"/>
      <c r="H288" s="7"/>
      <c r="I288" s="7"/>
      <c r="J288" s="9" t="str">
        <f aca="false">IF(B288="","",COUNTIFS($B$2:$B$500,B288,$C$2:$C$500,C288,$F$2:$F$500,F288,$H$2:$H$500,"Trade estimate"))</f>
        <v/>
      </c>
      <c r="K288" s="11" t="str">
        <f aca="false">IF(OR(J288="",J288=0),"",_xlfn.MAXIFS($E$2:$E$500,$B$2:$B$500,B288,$C$2:$C$500,C288,$F$2:$F$500,F288,$H$2:$H$500,"Trade estimate"))</f>
        <v/>
      </c>
      <c r="L288" s="11" t="str">
        <f aca="false">IF(OR(J288="",J288=0),"",_xlfn.MINIFS($E$2:$E$500,$B$2:$B$500,B288,$C$2:$C$500,C288,$F$2:$F$500,F288,$H$2:$H$500,"Trade estimate"))</f>
        <v/>
      </c>
      <c r="M288" s="12" t="str">
        <f aca="false">IF(OR(J288="",J288&lt;2),"",IF(L288=0,"",(K288-L288)/L288))</f>
        <v/>
      </c>
      <c r="N288" s="13" t="str">
        <f aca="false">IF(B288="","",IF(J288&lt;2,"Needs 2+ trade sources",IF(M288&gt;Lists!$E$2,"CHECK","OK")))</f>
        <v/>
      </c>
      <c r="O288" s="9" t="str">
        <f aca="false">IF(B288="","",IF(J288&lt;2,"Needs 2+ trade sources",IF(M288&lt;=Lists!$E$6,"Good",IF(M288&lt;=Lists!$E$2,"Moderate","Bad"))))</f>
        <v/>
      </c>
    </row>
    <row r="289" customFormat="false" ht="14.25" hidden="false" customHeight="true" outlineLevel="0" collapsed="false">
      <c r="A289" s="6"/>
      <c r="B289" s="7"/>
      <c r="C289" s="8"/>
      <c r="D289" s="9" t="str">
        <f aca="false">IF(OR(B289="",C289=""),"",IFERROR(C289-INDEX(Films!$C$2:$C$100,MATCH(B289,Films!$A$2:$A$100,0))+1,""))</f>
        <v/>
      </c>
      <c r="E289" s="10"/>
      <c r="F289" s="7"/>
      <c r="G289" s="7"/>
      <c r="H289" s="7"/>
      <c r="I289" s="7"/>
      <c r="J289" s="9" t="str">
        <f aca="false">IF(B289="","",COUNTIFS($B$2:$B$500,B289,$C$2:$C$500,C289,$F$2:$F$500,F289,$H$2:$H$500,"Trade estimate"))</f>
        <v/>
      </c>
      <c r="K289" s="11" t="str">
        <f aca="false">IF(OR(J289="",J289=0),"",_xlfn.MAXIFS($E$2:$E$500,$B$2:$B$500,B289,$C$2:$C$500,C289,$F$2:$F$500,F289,$H$2:$H$500,"Trade estimate"))</f>
        <v/>
      </c>
      <c r="L289" s="11" t="str">
        <f aca="false">IF(OR(J289="",J289=0),"",_xlfn.MINIFS($E$2:$E$500,$B$2:$B$500,B289,$C$2:$C$500,C289,$F$2:$F$500,F289,$H$2:$H$500,"Trade estimate"))</f>
        <v/>
      </c>
      <c r="M289" s="12" t="str">
        <f aca="false">IF(OR(J289="",J289&lt;2),"",IF(L289=0,"",(K289-L289)/L289))</f>
        <v/>
      </c>
      <c r="N289" s="13" t="str">
        <f aca="false">IF(B289="","",IF(J289&lt;2,"Needs 2+ trade sources",IF(M289&gt;Lists!$E$2,"CHECK","OK")))</f>
        <v/>
      </c>
      <c r="O289" s="9" t="str">
        <f aca="false">IF(B289="","",IF(J289&lt;2,"Needs 2+ trade sources",IF(M289&lt;=Lists!$E$6,"Good",IF(M289&lt;=Lists!$E$2,"Moderate","Bad"))))</f>
        <v/>
      </c>
    </row>
    <row r="290" customFormat="false" ht="14.25" hidden="false" customHeight="true" outlineLevel="0" collapsed="false">
      <c r="A290" s="6"/>
      <c r="B290" s="7"/>
      <c r="C290" s="8"/>
      <c r="D290" s="9" t="str">
        <f aca="false">IF(OR(B290="",C290=""),"",IFERROR(C290-INDEX(Films!$C$2:$C$100,MATCH(B290,Films!$A$2:$A$100,0))+1,""))</f>
        <v/>
      </c>
      <c r="E290" s="10"/>
      <c r="F290" s="7"/>
      <c r="G290" s="7"/>
      <c r="H290" s="7"/>
      <c r="I290" s="7"/>
      <c r="J290" s="9" t="str">
        <f aca="false">IF(B290="","",COUNTIFS($B$2:$B$500,B290,$C$2:$C$500,C290,$F$2:$F$500,F290,$H$2:$H$500,"Trade estimate"))</f>
        <v/>
      </c>
      <c r="K290" s="11" t="str">
        <f aca="false">IF(OR(J290="",J290=0),"",_xlfn.MAXIFS($E$2:$E$500,$B$2:$B$500,B290,$C$2:$C$500,C290,$F$2:$F$500,F290,$H$2:$H$500,"Trade estimate"))</f>
        <v/>
      </c>
      <c r="L290" s="11" t="str">
        <f aca="false">IF(OR(J290="",J290=0),"",_xlfn.MINIFS($E$2:$E$500,$B$2:$B$500,B290,$C$2:$C$500,C290,$F$2:$F$500,F290,$H$2:$H$500,"Trade estimate"))</f>
        <v/>
      </c>
      <c r="M290" s="12" t="str">
        <f aca="false">IF(OR(J290="",J290&lt;2),"",IF(L290=0,"",(K290-L290)/L290))</f>
        <v/>
      </c>
      <c r="N290" s="13" t="str">
        <f aca="false">IF(B290="","",IF(J290&lt;2,"Needs 2+ trade sources",IF(M290&gt;Lists!$E$2,"CHECK","OK")))</f>
        <v/>
      </c>
      <c r="O290" s="9" t="str">
        <f aca="false">IF(B290="","",IF(J290&lt;2,"Needs 2+ trade sources",IF(M290&lt;=Lists!$E$6,"Good",IF(M290&lt;=Lists!$E$2,"Moderate","Bad"))))</f>
        <v/>
      </c>
    </row>
    <row r="291" customFormat="false" ht="14.25" hidden="false" customHeight="true" outlineLevel="0" collapsed="false">
      <c r="A291" s="6"/>
      <c r="B291" s="7"/>
      <c r="C291" s="8"/>
      <c r="D291" s="9" t="str">
        <f aca="false">IF(OR(B291="",C291=""),"",IFERROR(C291-INDEX(Films!$C$2:$C$100,MATCH(B291,Films!$A$2:$A$100,0))+1,""))</f>
        <v/>
      </c>
      <c r="E291" s="10"/>
      <c r="F291" s="7"/>
      <c r="G291" s="7"/>
      <c r="H291" s="7"/>
      <c r="I291" s="7"/>
      <c r="J291" s="9" t="str">
        <f aca="false">IF(B291="","",COUNTIFS($B$2:$B$500,B291,$C$2:$C$500,C291,$F$2:$F$500,F291,$H$2:$H$500,"Trade estimate"))</f>
        <v/>
      </c>
      <c r="K291" s="11" t="str">
        <f aca="false">IF(OR(J291="",J291=0),"",_xlfn.MAXIFS($E$2:$E$500,$B$2:$B$500,B291,$C$2:$C$500,C291,$F$2:$F$500,F291,$H$2:$H$500,"Trade estimate"))</f>
        <v/>
      </c>
      <c r="L291" s="11" t="str">
        <f aca="false">IF(OR(J291="",J291=0),"",_xlfn.MINIFS($E$2:$E$500,$B$2:$B$500,B291,$C$2:$C$500,C291,$F$2:$F$500,F291,$H$2:$H$500,"Trade estimate"))</f>
        <v/>
      </c>
      <c r="M291" s="12" t="str">
        <f aca="false">IF(OR(J291="",J291&lt;2),"",IF(L291=0,"",(K291-L291)/L291))</f>
        <v/>
      </c>
      <c r="N291" s="13" t="str">
        <f aca="false">IF(B291="","",IF(J291&lt;2,"Needs 2+ trade sources",IF(M291&gt;Lists!$E$2,"CHECK","OK")))</f>
        <v/>
      </c>
      <c r="O291" s="9" t="str">
        <f aca="false">IF(B291="","",IF(J291&lt;2,"Needs 2+ trade sources",IF(M291&lt;=Lists!$E$6,"Good",IF(M291&lt;=Lists!$E$2,"Moderate","Bad"))))</f>
        <v/>
      </c>
    </row>
    <row r="292" customFormat="false" ht="14.25" hidden="false" customHeight="true" outlineLevel="0" collapsed="false">
      <c r="A292" s="6"/>
      <c r="B292" s="7"/>
      <c r="C292" s="8"/>
      <c r="D292" s="9" t="str">
        <f aca="false">IF(OR(B292="",C292=""),"",IFERROR(C292-INDEX(Films!$C$2:$C$100,MATCH(B292,Films!$A$2:$A$100,0))+1,""))</f>
        <v/>
      </c>
      <c r="E292" s="10"/>
      <c r="F292" s="7"/>
      <c r="G292" s="7"/>
      <c r="H292" s="7"/>
      <c r="I292" s="7"/>
      <c r="J292" s="9" t="str">
        <f aca="false">IF(B292="","",COUNTIFS($B$2:$B$500,B292,$C$2:$C$500,C292,$F$2:$F$500,F292,$H$2:$H$500,"Trade estimate"))</f>
        <v/>
      </c>
      <c r="K292" s="11" t="str">
        <f aca="false">IF(OR(J292="",J292=0),"",_xlfn.MAXIFS($E$2:$E$500,$B$2:$B$500,B292,$C$2:$C$500,C292,$F$2:$F$500,F292,$H$2:$H$500,"Trade estimate"))</f>
        <v/>
      </c>
      <c r="L292" s="11" t="str">
        <f aca="false">IF(OR(J292="",J292=0),"",_xlfn.MINIFS($E$2:$E$500,$B$2:$B$500,B292,$C$2:$C$500,C292,$F$2:$F$500,F292,$H$2:$H$500,"Trade estimate"))</f>
        <v/>
      </c>
      <c r="M292" s="12" t="str">
        <f aca="false">IF(OR(J292="",J292&lt;2),"",IF(L292=0,"",(K292-L292)/L292))</f>
        <v/>
      </c>
      <c r="N292" s="13" t="str">
        <f aca="false">IF(B292="","",IF(J292&lt;2,"Needs 2+ trade sources",IF(M292&gt;Lists!$E$2,"CHECK","OK")))</f>
        <v/>
      </c>
      <c r="O292" s="9" t="str">
        <f aca="false">IF(B292="","",IF(J292&lt;2,"Needs 2+ trade sources",IF(M292&lt;=Lists!$E$6,"Good",IF(M292&lt;=Lists!$E$2,"Moderate","Bad"))))</f>
        <v/>
      </c>
    </row>
    <row r="293" customFormat="false" ht="14.25" hidden="false" customHeight="true" outlineLevel="0" collapsed="false">
      <c r="A293" s="6"/>
      <c r="B293" s="7"/>
      <c r="C293" s="8"/>
      <c r="D293" s="9" t="str">
        <f aca="false">IF(OR(B293="",C293=""),"",IFERROR(C293-INDEX(Films!$C$2:$C$100,MATCH(B293,Films!$A$2:$A$100,0))+1,""))</f>
        <v/>
      </c>
      <c r="E293" s="10"/>
      <c r="F293" s="7"/>
      <c r="G293" s="7"/>
      <c r="H293" s="7"/>
      <c r="I293" s="7"/>
      <c r="J293" s="9" t="str">
        <f aca="false">IF(B293="","",COUNTIFS($B$2:$B$500,B293,$C$2:$C$500,C293,$F$2:$F$500,F293,$H$2:$H$500,"Trade estimate"))</f>
        <v/>
      </c>
      <c r="K293" s="11" t="str">
        <f aca="false">IF(OR(J293="",J293=0),"",_xlfn.MAXIFS($E$2:$E$500,$B$2:$B$500,B293,$C$2:$C$500,C293,$F$2:$F$500,F293,$H$2:$H$500,"Trade estimate"))</f>
        <v/>
      </c>
      <c r="L293" s="11" t="str">
        <f aca="false">IF(OR(J293="",J293=0),"",_xlfn.MINIFS($E$2:$E$500,$B$2:$B$500,B293,$C$2:$C$500,C293,$F$2:$F$500,F293,$H$2:$H$500,"Trade estimate"))</f>
        <v/>
      </c>
      <c r="M293" s="12" t="str">
        <f aca="false">IF(OR(J293="",J293&lt;2),"",IF(L293=0,"",(K293-L293)/L293))</f>
        <v/>
      </c>
      <c r="N293" s="13" t="str">
        <f aca="false">IF(B293="","",IF(J293&lt;2,"Needs 2+ trade sources",IF(M293&gt;Lists!$E$2,"CHECK","OK")))</f>
        <v/>
      </c>
      <c r="O293" s="9" t="str">
        <f aca="false">IF(B293="","",IF(J293&lt;2,"Needs 2+ trade sources",IF(M293&lt;=Lists!$E$6,"Good",IF(M293&lt;=Lists!$E$2,"Moderate","Bad"))))</f>
        <v/>
      </c>
    </row>
    <row r="294" customFormat="false" ht="14.25" hidden="false" customHeight="true" outlineLevel="0" collapsed="false">
      <c r="A294" s="6"/>
      <c r="B294" s="7"/>
      <c r="C294" s="8"/>
      <c r="D294" s="9" t="str">
        <f aca="false">IF(OR(B294="",C294=""),"",IFERROR(C294-INDEX(Films!$C$2:$C$100,MATCH(B294,Films!$A$2:$A$100,0))+1,""))</f>
        <v/>
      </c>
      <c r="E294" s="10"/>
      <c r="F294" s="7"/>
      <c r="G294" s="7"/>
      <c r="H294" s="7"/>
      <c r="I294" s="7"/>
      <c r="J294" s="9" t="str">
        <f aca="false">IF(B294="","",COUNTIFS($B$2:$B$500,B294,$C$2:$C$500,C294,$F$2:$F$500,F294,$H$2:$H$500,"Trade estimate"))</f>
        <v/>
      </c>
      <c r="K294" s="11" t="str">
        <f aca="false">IF(OR(J294="",J294=0),"",_xlfn.MAXIFS($E$2:$E$500,$B$2:$B$500,B294,$C$2:$C$500,C294,$F$2:$F$500,F294,$H$2:$H$500,"Trade estimate"))</f>
        <v/>
      </c>
      <c r="L294" s="11" t="str">
        <f aca="false">IF(OR(J294="",J294=0),"",_xlfn.MINIFS($E$2:$E$500,$B$2:$B$500,B294,$C$2:$C$500,C294,$F$2:$F$500,F294,$H$2:$H$500,"Trade estimate"))</f>
        <v/>
      </c>
      <c r="M294" s="12" t="str">
        <f aca="false">IF(OR(J294="",J294&lt;2),"",IF(L294=0,"",(K294-L294)/L294))</f>
        <v/>
      </c>
      <c r="N294" s="13" t="str">
        <f aca="false">IF(B294="","",IF(J294&lt;2,"Needs 2+ trade sources",IF(M294&gt;Lists!$E$2,"CHECK","OK")))</f>
        <v/>
      </c>
      <c r="O294" s="9" t="str">
        <f aca="false">IF(B294="","",IF(J294&lt;2,"Needs 2+ trade sources",IF(M294&lt;=Lists!$E$6,"Good",IF(M294&lt;=Lists!$E$2,"Moderate","Bad"))))</f>
        <v/>
      </c>
    </row>
    <row r="295" customFormat="false" ht="14.25" hidden="false" customHeight="true" outlineLevel="0" collapsed="false">
      <c r="A295" s="6"/>
      <c r="B295" s="7"/>
      <c r="C295" s="8"/>
      <c r="D295" s="9" t="str">
        <f aca="false">IF(OR(B295="",C295=""),"",IFERROR(C295-INDEX(Films!$C$2:$C$100,MATCH(B295,Films!$A$2:$A$100,0))+1,""))</f>
        <v/>
      </c>
      <c r="E295" s="10"/>
      <c r="F295" s="7"/>
      <c r="G295" s="7"/>
      <c r="H295" s="7"/>
      <c r="I295" s="7"/>
      <c r="J295" s="9" t="str">
        <f aca="false">IF(B295="","",COUNTIFS($B$2:$B$500,B295,$C$2:$C$500,C295,$F$2:$F$500,F295,$H$2:$H$500,"Trade estimate"))</f>
        <v/>
      </c>
      <c r="K295" s="11" t="str">
        <f aca="false">IF(OR(J295="",J295=0),"",_xlfn.MAXIFS($E$2:$E$500,$B$2:$B$500,B295,$C$2:$C$500,C295,$F$2:$F$500,F295,$H$2:$H$500,"Trade estimate"))</f>
        <v/>
      </c>
      <c r="L295" s="11" t="str">
        <f aca="false">IF(OR(J295="",J295=0),"",_xlfn.MINIFS($E$2:$E$500,$B$2:$B$500,B295,$C$2:$C$500,C295,$F$2:$F$500,F295,$H$2:$H$500,"Trade estimate"))</f>
        <v/>
      </c>
      <c r="M295" s="12" t="str">
        <f aca="false">IF(OR(J295="",J295&lt;2),"",IF(L295=0,"",(K295-L295)/L295))</f>
        <v/>
      </c>
      <c r="N295" s="13" t="str">
        <f aca="false">IF(B295="","",IF(J295&lt;2,"Needs 2+ trade sources",IF(M295&gt;Lists!$E$2,"CHECK","OK")))</f>
        <v/>
      </c>
      <c r="O295" s="9" t="str">
        <f aca="false">IF(B295="","",IF(J295&lt;2,"Needs 2+ trade sources",IF(M295&lt;=Lists!$E$6,"Good",IF(M295&lt;=Lists!$E$2,"Moderate","Bad"))))</f>
        <v/>
      </c>
    </row>
    <row r="296" customFormat="false" ht="14.25" hidden="false" customHeight="true" outlineLevel="0" collapsed="false">
      <c r="A296" s="6"/>
      <c r="B296" s="7"/>
      <c r="C296" s="8"/>
      <c r="D296" s="9" t="str">
        <f aca="false">IF(OR(B296="",C296=""),"",IFERROR(C296-INDEX(Films!$C$2:$C$100,MATCH(B296,Films!$A$2:$A$100,0))+1,""))</f>
        <v/>
      </c>
      <c r="E296" s="10"/>
      <c r="F296" s="7"/>
      <c r="G296" s="7"/>
      <c r="H296" s="7"/>
      <c r="I296" s="7"/>
      <c r="J296" s="9" t="str">
        <f aca="false">IF(B296="","",COUNTIFS($B$2:$B$500,B296,$C$2:$C$500,C296,$F$2:$F$500,F296,$H$2:$H$500,"Trade estimate"))</f>
        <v/>
      </c>
      <c r="K296" s="11" t="str">
        <f aca="false">IF(OR(J296="",J296=0),"",_xlfn.MAXIFS($E$2:$E$500,$B$2:$B$500,B296,$C$2:$C$500,C296,$F$2:$F$500,F296,$H$2:$H$500,"Trade estimate"))</f>
        <v/>
      </c>
      <c r="L296" s="11" t="str">
        <f aca="false">IF(OR(J296="",J296=0),"",_xlfn.MINIFS($E$2:$E$500,$B$2:$B$500,B296,$C$2:$C$500,C296,$F$2:$F$500,F296,$H$2:$H$500,"Trade estimate"))</f>
        <v/>
      </c>
      <c r="M296" s="12" t="str">
        <f aca="false">IF(OR(J296="",J296&lt;2),"",IF(L296=0,"",(K296-L296)/L296))</f>
        <v/>
      </c>
      <c r="N296" s="13" t="str">
        <f aca="false">IF(B296="","",IF(J296&lt;2,"Needs 2+ trade sources",IF(M296&gt;Lists!$E$2,"CHECK","OK")))</f>
        <v/>
      </c>
      <c r="O296" s="9" t="str">
        <f aca="false">IF(B296="","",IF(J296&lt;2,"Needs 2+ trade sources",IF(M296&lt;=Lists!$E$6,"Good",IF(M296&lt;=Lists!$E$2,"Moderate","Bad"))))</f>
        <v/>
      </c>
    </row>
    <row r="297" customFormat="false" ht="14.25" hidden="false" customHeight="true" outlineLevel="0" collapsed="false">
      <c r="A297" s="6"/>
      <c r="B297" s="7"/>
      <c r="C297" s="8"/>
      <c r="D297" s="9" t="str">
        <f aca="false">IF(OR(B297="",C297=""),"",IFERROR(C297-INDEX(Films!$C$2:$C$100,MATCH(B297,Films!$A$2:$A$100,0))+1,""))</f>
        <v/>
      </c>
      <c r="E297" s="10"/>
      <c r="F297" s="7"/>
      <c r="G297" s="7"/>
      <c r="H297" s="7"/>
      <c r="I297" s="7"/>
      <c r="J297" s="9" t="str">
        <f aca="false">IF(B297="","",COUNTIFS($B$2:$B$500,B297,$C$2:$C$500,C297,$F$2:$F$500,F297,$H$2:$H$500,"Trade estimate"))</f>
        <v/>
      </c>
      <c r="K297" s="11" t="str">
        <f aca="false">IF(OR(J297="",J297=0),"",_xlfn.MAXIFS($E$2:$E$500,$B$2:$B$500,B297,$C$2:$C$500,C297,$F$2:$F$500,F297,$H$2:$H$500,"Trade estimate"))</f>
        <v/>
      </c>
      <c r="L297" s="11" t="str">
        <f aca="false">IF(OR(J297="",J297=0),"",_xlfn.MINIFS($E$2:$E$500,$B$2:$B$500,B297,$C$2:$C$500,C297,$F$2:$F$500,F297,$H$2:$H$500,"Trade estimate"))</f>
        <v/>
      </c>
      <c r="M297" s="12" t="str">
        <f aca="false">IF(OR(J297="",J297&lt;2),"",IF(L297=0,"",(K297-L297)/L297))</f>
        <v/>
      </c>
      <c r="N297" s="13" t="str">
        <f aca="false">IF(B297="","",IF(J297&lt;2,"Needs 2+ trade sources",IF(M297&gt;Lists!$E$2,"CHECK","OK")))</f>
        <v/>
      </c>
      <c r="O297" s="9" t="str">
        <f aca="false">IF(B297="","",IF(J297&lt;2,"Needs 2+ trade sources",IF(M297&lt;=Lists!$E$6,"Good",IF(M297&lt;=Lists!$E$2,"Moderate","Bad"))))</f>
        <v/>
      </c>
    </row>
    <row r="298" customFormat="false" ht="14.25" hidden="false" customHeight="true" outlineLevel="0" collapsed="false">
      <c r="A298" s="6"/>
      <c r="B298" s="7"/>
      <c r="C298" s="8"/>
      <c r="D298" s="9" t="str">
        <f aca="false">IF(OR(B298="",C298=""),"",IFERROR(C298-INDEX(Films!$C$2:$C$100,MATCH(B298,Films!$A$2:$A$100,0))+1,""))</f>
        <v/>
      </c>
      <c r="E298" s="10"/>
      <c r="F298" s="7"/>
      <c r="G298" s="7"/>
      <c r="H298" s="7"/>
      <c r="I298" s="7"/>
      <c r="J298" s="9" t="str">
        <f aca="false">IF(B298="","",COUNTIFS($B$2:$B$500,B298,$C$2:$C$500,C298,$F$2:$F$500,F298,$H$2:$H$500,"Trade estimate"))</f>
        <v/>
      </c>
      <c r="K298" s="11" t="str">
        <f aca="false">IF(OR(J298="",J298=0),"",_xlfn.MAXIFS($E$2:$E$500,$B$2:$B$500,B298,$C$2:$C$500,C298,$F$2:$F$500,F298,$H$2:$H$500,"Trade estimate"))</f>
        <v/>
      </c>
      <c r="L298" s="11" t="str">
        <f aca="false">IF(OR(J298="",J298=0),"",_xlfn.MINIFS($E$2:$E$500,$B$2:$B$500,B298,$C$2:$C$500,C298,$F$2:$F$500,F298,$H$2:$H$500,"Trade estimate"))</f>
        <v/>
      </c>
      <c r="M298" s="12" t="str">
        <f aca="false">IF(OR(J298="",J298&lt;2),"",IF(L298=0,"",(K298-L298)/L298))</f>
        <v/>
      </c>
      <c r="N298" s="13" t="str">
        <f aca="false">IF(B298="","",IF(J298&lt;2,"Needs 2+ trade sources",IF(M298&gt;Lists!$E$2,"CHECK","OK")))</f>
        <v/>
      </c>
      <c r="O298" s="9" t="str">
        <f aca="false">IF(B298="","",IF(J298&lt;2,"Needs 2+ trade sources",IF(M298&lt;=Lists!$E$6,"Good",IF(M298&lt;=Lists!$E$2,"Moderate","Bad"))))</f>
        <v/>
      </c>
    </row>
    <row r="299" customFormat="false" ht="14.25" hidden="false" customHeight="true" outlineLevel="0" collapsed="false">
      <c r="A299" s="6"/>
      <c r="B299" s="7"/>
      <c r="C299" s="8"/>
      <c r="D299" s="9" t="str">
        <f aca="false">IF(OR(B299="",C299=""),"",IFERROR(C299-INDEX(Films!$C$2:$C$100,MATCH(B299,Films!$A$2:$A$100,0))+1,""))</f>
        <v/>
      </c>
      <c r="E299" s="10"/>
      <c r="F299" s="7"/>
      <c r="G299" s="7"/>
      <c r="H299" s="7"/>
      <c r="I299" s="7"/>
      <c r="J299" s="9" t="str">
        <f aca="false">IF(B299="","",COUNTIFS($B$2:$B$500,B299,$C$2:$C$500,C299,$F$2:$F$500,F299,$H$2:$H$500,"Trade estimate"))</f>
        <v/>
      </c>
      <c r="K299" s="11" t="str">
        <f aca="false">IF(OR(J299="",J299=0),"",_xlfn.MAXIFS($E$2:$E$500,$B$2:$B$500,B299,$C$2:$C$500,C299,$F$2:$F$500,F299,$H$2:$H$500,"Trade estimate"))</f>
        <v/>
      </c>
      <c r="L299" s="11" t="str">
        <f aca="false">IF(OR(J299="",J299=0),"",_xlfn.MINIFS($E$2:$E$500,$B$2:$B$500,B299,$C$2:$C$500,C299,$F$2:$F$500,F299,$H$2:$H$500,"Trade estimate"))</f>
        <v/>
      </c>
      <c r="M299" s="12" t="str">
        <f aca="false">IF(OR(J299="",J299&lt;2),"",IF(L299=0,"",(K299-L299)/L299))</f>
        <v/>
      </c>
      <c r="N299" s="13" t="str">
        <f aca="false">IF(B299="","",IF(J299&lt;2,"Needs 2+ trade sources",IF(M299&gt;Lists!$E$2,"CHECK","OK")))</f>
        <v/>
      </c>
      <c r="O299" s="9" t="str">
        <f aca="false">IF(B299="","",IF(J299&lt;2,"Needs 2+ trade sources",IF(M299&lt;=Lists!$E$6,"Good",IF(M299&lt;=Lists!$E$2,"Moderate","Bad"))))</f>
        <v/>
      </c>
    </row>
    <row r="300" customFormat="false" ht="14.25" hidden="false" customHeight="true" outlineLevel="0" collapsed="false">
      <c r="A300" s="6"/>
      <c r="B300" s="7"/>
      <c r="C300" s="8"/>
      <c r="D300" s="9" t="str">
        <f aca="false">IF(OR(B300="",C300=""),"",IFERROR(C300-INDEX(Films!$C$2:$C$100,MATCH(B300,Films!$A$2:$A$100,0))+1,""))</f>
        <v/>
      </c>
      <c r="E300" s="10"/>
      <c r="F300" s="7"/>
      <c r="G300" s="7"/>
      <c r="H300" s="7"/>
      <c r="I300" s="7"/>
      <c r="J300" s="9" t="str">
        <f aca="false">IF(B300="","",COUNTIFS($B$2:$B$500,B300,$C$2:$C$500,C300,$F$2:$F$500,F300,$H$2:$H$500,"Trade estimate"))</f>
        <v/>
      </c>
      <c r="K300" s="11" t="str">
        <f aca="false">IF(OR(J300="",J300=0),"",_xlfn.MAXIFS($E$2:$E$500,$B$2:$B$500,B300,$C$2:$C$500,C300,$F$2:$F$500,F300,$H$2:$H$500,"Trade estimate"))</f>
        <v/>
      </c>
      <c r="L300" s="11" t="str">
        <f aca="false">IF(OR(J300="",J300=0),"",_xlfn.MINIFS($E$2:$E$500,$B$2:$B$500,B300,$C$2:$C$500,C300,$F$2:$F$500,F300,$H$2:$H$500,"Trade estimate"))</f>
        <v/>
      </c>
      <c r="M300" s="12" t="str">
        <f aca="false">IF(OR(J300="",J300&lt;2),"",IF(L300=0,"",(K300-L300)/L300))</f>
        <v/>
      </c>
      <c r="N300" s="13" t="str">
        <f aca="false">IF(B300="","",IF(J300&lt;2,"Needs 2+ trade sources",IF(M300&gt;Lists!$E$2,"CHECK","OK")))</f>
        <v/>
      </c>
      <c r="O300" s="9" t="str">
        <f aca="false">IF(B300="","",IF(J300&lt;2,"Needs 2+ trade sources",IF(M300&lt;=Lists!$E$6,"Good",IF(M300&lt;=Lists!$E$2,"Moderate","Bad"))))</f>
        <v/>
      </c>
    </row>
    <row r="301" customFormat="false" ht="14.25" hidden="false" customHeight="true" outlineLevel="0" collapsed="false">
      <c r="A301" s="6"/>
      <c r="B301" s="7"/>
      <c r="C301" s="8"/>
      <c r="D301" s="9" t="str">
        <f aca="false">IF(OR(B301="",C301=""),"",IFERROR(C301-INDEX(Films!$C$2:$C$100,MATCH(B301,Films!$A$2:$A$100,0))+1,""))</f>
        <v/>
      </c>
      <c r="E301" s="10"/>
      <c r="F301" s="7"/>
      <c r="G301" s="7"/>
      <c r="H301" s="7"/>
      <c r="I301" s="7"/>
      <c r="J301" s="9" t="str">
        <f aca="false">IF(B301="","",COUNTIFS($B$2:$B$500,B301,$C$2:$C$500,C301,$F$2:$F$500,F301,$H$2:$H$500,"Trade estimate"))</f>
        <v/>
      </c>
      <c r="K301" s="11" t="str">
        <f aca="false">IF(OR(J301="",J301=0),"",_xlfn.MAXIFS($E$2:$E$500,$B$2:$B$500,B301,$C$2:$C$500,C301,$F$2:$F$500,F301,$H$2:$H$500,"Trade estimate"))</f>
        <v/>
      </c>
      <c r="L301" s="11" t="str">
        <f aca="false">IF(OR(J301="",J301=0),"",_xlfn.MINIFS($E$2:$E$500,$B$2:$B$500,B301,$C$2:$C$500,C301,$F$2:$F$500,F301,$H$2:$H$500,"Trade estimate"))</f>
        <v/>
      </c>
      <c r="M301" s="12" t="str">
        <f aca="false">IF(OR(J301="",J301&lt;2),"",IF(L301=0,"",(K301-L301)/L301))</f>
        <v/>
      </c>
      <c r="N301" s="13" t="str">
        <f aca="false">IF(B301="","",IF(J301&lt;2,"Needs 2+ trade sources",IF(M301&gt;Lists!$E$2,"CHECK","OK")))</f>
        <v/>
      </c>
      <c r="O301" s="9" t="str">
        <f aca="false">IF(B301="","",IF(J301&lt;2,"Needs 2+ trade sources",IF(M301&lt;=Lists!$E$6,"Good",IF(M301&lt;=Lists!$E$2,"Moderate","Bad"))))</f>
        <v/>
      </c>
    </row>
    <row r="302" customFormat="false" ht="14.25" hidden="false" customHeight="true" outlineLevel="0" collapsed="false">
      <c r="A302" s="6"/>
      <c r="B302" s="7"/>
      <c r="C302" s="8"/>
      <c r="D302" s="9" t="str">
        <f aca="false">IF(OR(B302="",C302=""),"",IFERROR(C302-INDEX(Films!$C$2:$C$100,MATCH(B302,Films!$A$2:$A$100,0))+1,""))</f>
        <v/>
      </c>
      <c r="E302" s="10"/>
      <c r="F302" s="7"/>
      <c r="G302" s="7"/>
      <c r="H302" s="7"/>
      <c r="I302" s="7"/>
      <c r="J302" s="9" t="str">
        <f aca="false">IF(B302="","",COUNTIFS($B$2:$B$500,B302,$C$2:$C$500,C302,$F$2:$F$500,F302,$H$2:$H$500,"Trade estimate"))</f>
        <v/>
      </c>
      <c r="K302" s="11" t="str">
        <f aca="false">IF(OR(J302="",J302=0),"",_xlfn.MAXIFS($E$2:$E$500,$B$2:$B$500,B302,$C$2:$C$500,C302,$F$2:$F$500,F302,$H$2:$H$500,"Trade estimate"))</f>
        <v/>
      </c>
      <c r="L302" s="11" t="str">
        <f aca="false">IF(OR(J302="",J302=0),"",_xlfn.MINIFS($E$2:$E$500,$B$2:$B$500,B302,$C$2:$C$500,C302,$F$2:$F$500,F302,$H$2:$H$500,"Trade estimate"))</f>
        <v/>
      </c>
      <c r="M302" s="12" t="str">
        <f aca="false">IF(OR(J302="",J302&lt;2),"",IF(L302=0,"",(K302-L302)/L302))</f>
        <v/>
      </c>
      <c r="N302" s="13" t="str">
        <f aca="false">IF(B302="","",IF(J302&lt;2,"Needs 2+ trade sources",IF(M302&gt;Lists!$E$2,"CHECK","OK")))</f>
        <v/>
      </c>
      <c r="O302" s="9" t="str">
        <f aca="false">IF(B302="","",IF(J302&lt;2,"Needs 2+ trade sources",IF(M302&lt;=Lists!$E$6,"Good",IF(M302&lt;=Lists!$E$2,"Moderate","Bad"))))</f>
        <v/>
      </c>
    </row>
    <row r="303" customFormat="false" ht="14.25" hidden="false" customHeight="true" outlineLevel="0" collapsed="false">
      <c r="A303" s="6"/>
      <c r="B303" s="7"/>
      <c r="C303" s="8"/>
      <c r="D303" s="9" t="str">
        <f aca="false">IF(OR(B303="",C303=""),"",IFERROR(C303-INDEX(Films!$C$2:$C$100,MATCH(B303,Films!$A$2:$A$100,0))+1,""))</f>
        <v/>
      </c>
      <c r="E303" s="10"/>
      <c r="F303" s="7"/>
      <c r="G303" s="7"/>
      <c r="H303" s="7"/>
      <c r="I303" s="7"/>
      <c r="J303" s="9" t="str">
        <f aca="false">IF(B303="","",COUNTIFS($B$2:$B$500,B303,$C$2:$C$500,C303,$F$2:$F$500,F303,$H$2:$H$500,"Trade estimate"))</f>
        <v/>
      </c>
      <c r="K303" s="11" t="str">
        <f aca="false">IF(OR(J303="",J303=0),"",_xlfn.MAXIFS($E$2:$E$500,$B$2:$B$500,B303,$C$2:$C$500,C303,$F$2:$F$500,F303,$H$2:$H$500,"Trade estimate"))</f>
        <v/>
      </c>
      <c r="L303" s="11" t="str">
        <f aca="false">IF(OR(J303="",J303=0),"",_xlfn.MINIFS($E$2:$E$500,$B$2:$B$500,B303,$C$2:$C$500,C303,$F$2:$F$500,F303,$H$2:$H$500,"Trade estimate"))</f>
        <v/>
      </c>
      <c r="M303" s="12" t="str">
        <f aca="false">IF(OR(J303="",J303&lt;2),"",IF(L303=0,"",(K303-L303)/L303))</f>
        <v/>
      </c>
      <c r="N303" s="13" t="str">
        <f aca="false">IF(B303="","",IF(J303&lt;2,"Needs 2+ trade sources",IF(M303&gt;Lists!$E$2,"CHECK","OK")))</f>
        <v/>
      </c>
      <c r="O303" s="9" t="str">
        <f aca="false">IF(B303="","",IF(J303&lt;2,"Needs 2+ trade sources",IF(M303&lt;=Lists!$E$6,"Good",IF(M303&lt;=Lists!$E$2,"Moderate","Bad"))))</f>
        <v/>
      </c>
    </row>
    <row r="304" customFormat="false" ht="14.25" hidden="false" customHeight="true" outlineLevel="0" collapsed="false">
      <c r="A304" s="6"/>
      <c r="B304" s="7"/>
      <c r="C304" s="8"/>
      <c r="D304" s="9" t="str">
        <f aca="false">IF(OR(B304="",C304=""),"",IFERROR(C304-INDEX(Films!$C$2:$C$100,MATCH(B304,Films!$A$2:$A$100,0))+1,""))</f>
        <v/>
      </c>
      <c r="E304" s="10"/>
      <c r="F304" s="7"/>
      <c r="G304" s="7"/>
      <c r="H304" s="7"/>
      <c r="I304" s="7"/>
      <c r="J304" s="9" t="str">
        <f aca="false">IF(B304="","",COUNTIFS($B$2:$B$500,B304,$C$2:$C$500,C304,$F$2:$F$500,F304,$H$2:$H$500,"Trade estimate"))</f>
        <v/>
      </c>
      <c r="K304" s="11" t="str">
        <f aca="false">IF(OR(J304="",J304=0),"",_xlfn.MAXIFS($E$2:$E$500,$B$2:$B$500,B304,$C$2:$C$500,C304,$F$2:$F$500,F304,$H$2:$H$500,"Trade estimate"))</f>
        <v/>
      </c>
      <c r="L304" s="11" t="str">
        <f aca="false">IF(OR(J304="",J304=0),"",_xlfn.MINIFS($E$2:$E$500,$B$2:$B$500,B304,$C$2:$C$500,C304,$F$2:$F$500,F304,$H$2:$H$500,"Trade estimate"))</f>
        <v/>
      </c>
      <c r="M304" s="12" t="str">
        <f aca="false">IF(OR(J304="",J304&lt;2),"",IF(L304=0,"",(K304-L304)/L304))</f>
        <v/>
      </c>
      <c r="N304" s="13" t="str">
        <f aca="false">IF(B304="","",IF(J304&lt;2,"Needs 2+ trade sources",IF(M304&gt;Lists!$E$2,"CHECK","OK")))</f>
        <v/>
      </c>
      <c r="O304" s="9" t="str">
        <f aca="false">IF(B304="","",IF(J304&lt;2,"Needs 2+ trade sources",IF(M304&lt;=Lists!$E$6,"Good",IF(M304&lt;=Lists!$E$2,"Moderate","Bad"))))</f>
        <v/>
      </c>
    </row>
    <row r="305" customFormat="false" ht="14.25" hidden="false" customHeight="true" outlineLevel="0" collapsed="false">
      <c r="A305" s="6"/>
      <c r="B305" s="7"/>
      <c r="C305" s="8"/>
      <c r="D305" s="9" t="str">
        <f aca="false">IF(OR(B305="",C305=""),"",IFERROR(C305-INDEX(Films!$C$2:$C$100,MATCH(B305,Films!$A$2:$A$100,0))+1,""))</f>
        <v/>
      </c>
      <c r="E305" s="10"/>
      <c r="F305" s="7"/>
      <c r="G305" s="7"/>
      <c r="H305" s="7"/>
      <c r="I305" s="7"/>
      <c r="J305" s="9" t="str">
        <f aca="false">IF(B305="","",COUNTIFS($B$2:$B$500,B305,$C$2:$C$500,C305,$F$2:$F$500,F305,$H$2:$H$500,"Trade estimate"))</f>
        <v/>
      </c>
      <c r="K305" s="11" t="str">
        <f aca="false">IF(OR(J305="",J305=0),"",_xlfn.MAXIFS($E$2:$E$500,$B$2:$B$500,B305,$C$2:$C$500,C305,$F$2:$F$500,F305,$H$2:$H$500,"Trade estimate"))</f>
        <v/>
      </c>
      <c r="L305" s="11" t="str">
        <f aca="false">IF(OR(J305="",J305=0),"",_xlfn.MINIFS($E$2:$E$500,$B$2:$B$500,B305,$C$2:$C$500,C305,$F$2:$F$500,F305,$H$2:$H$500,"Trade estimate"))</f>
        <v/>
      </c>
      <c r="M305" s="12" t="str">
        <f aca="false">IF(OR(J305="",J305&lt;2),"",IF(L305=0,"",(K305-L305)/L305))</f>
        <v/>
      </c>
      <c r="N305" s="13" t="str">
        <f aca="false">IF(B305="","",IF(J305&lt;2,"Needs 2+ trade sources",IF(M305&gt;Lists!$E$2,"CHECK","OK")))</f>
        <v/>
      </c>
      <c r="O305" s="9" t="str">
        <f aca="false">IF(B305="","",IF(J305&lt;2,"Needs 2+ trade sources",IF(M305&lt;=Lists!$E$6,"Good",IF(M305&lt;=Lists!$E$2,"Moderate","Bad"))))</f>
        <v/>
      </c>
    </row>
    <row r="306" customFormat="false" ht="14.25" hidden="false" customHeight="true" outlineLevel="0" collapsed="false">
      <c r="A306" s="6"/>
      <c r="B306" s="7"/>
      <c r="C306" s="8"/>
      <c r="D306" s="9" t="str">
        <f aca="false">IF(OR(B306="",C306=""),"",IFERROR(C306-INDEX(Films!$C$2:$C$100,MATCH(B306,Films!$A$2:$A$100,0))+1,""))</f>
        <v/>
      </c>
      <c r="E306" s="10"/>
      <c r="F306" s="7"/>
      <c r="G306" s="7"/>
      <c r="H306" s="7"/>
      <c r="I306" s="7"/>
      <c r="J306" s="9" t="str">
        <f aca="false">IF(B306="","",COUNTIFS($B$2:$B$500,B306,$C$2:$C$500,C306,$F$2:$F$500,F306,$H$2:$H$500,"Trade estimate"))</f>
        <v/>
      </c>
      <c r="K306" s="11" t="str">
        <f aca="false">IF(OR(J306="",J306=0),"",_xlfn.MAXIFS($E$2:$E$500,$B$2:$B$500,B306,$C$2:$C$500,C306,$F$2:$F$500,F306,$H$2:$H$500,"Trade estimate"))</f>
        <v/>
      </c>
      <c r="L306" s="11" t="str">
        <f aca="false">IF(OR(J306="",J306=0),"",_xlfn.MINIFS($E$2:$E$500,$B$2:$B$500,B306,$C$2:$C$500,C306,$F$2:$F$500,F306,$H$2:$H$500,"Trade estimate"))</f>
        <v/>
      </c>
      <c r="M306" s="12" t="str">
        <f aca="false">IF(OR(J306="",J306&lt;2),"",IF(L306=0,"",(K306-L306)/L306))</f>
        <v/>
      </c>
      <c r="N306" s="13" t="str">
        <f aca="false">IF(B306="","",IF(J306&lt;2,"Needs 2+ trade sources",IF(M306&gt;Lists!$E$2,"CHECK","OK")))</f>
        <v/>
      </c>
      <c r="O306" s="9" t="str">
        <f aca="false">IF(B306="","",IF(J306&lt;2,"Needs 2+ trade sources",IF(M306&lt;=Lists!$E$6,"Good",IF(M306&lt;=Lists!$E$2,"Moderate","Bad"))))</f>
        <v/>
      </c>
    </row>
    <row r="307" customFormat="false" ht="14.25" hidden="false" customHeight="true" outlineLevel="0" collapsed="false">
      <c r="A307" s="6"/>
      <c r="B307" s="7"/>
      <c r="C307" s="8"/>
      <c r="D307" s="9" t="str">
        <f aca="false">IF(OR(B307="",C307=""),"",IFERROR(C307-INDEX(Films!$C$2:$C$100,MATCH(B307,Films!$A$2:$A$100,0))+1,""))</f>
        <v/>
      </c>
      <c r="E307" s="10"/>
      <c r="F307" s="7"/>
      <c r="G307" s="7"/>
      <c r="H307" s="7"/>
      <c r="I307" s="7"/>
      <c r="J307" s="9" t="str">
        <f aca="false">IF(B307="","",COUNTIFS($B$2:$B$500,B307,$C$2:$C$500,C307,$F$2:$F$500,F307,$H$2:$H$500,"Trade estimate"))</f>
        <v/>
      </c>
      <c r="K307" s="11" t="str">
        <f aca="false">IF(OR(J307="",J307=0),"",_xlfn.MAXIFS($E$2:$E$500,$B$2:$B$500,B307,$C$2:$C$500,C307,$F$2:$F$500,F307,$H$2:$H$500,"Trade estimate"))</f>
        <v/>
      </c>
      <c r="L307" s="11" t="str">
        <f aca="false">IF(OR(J307="",J307=0),"",_xlfn.MINIFS($E$2:$E$500,$B$2:$B$500,B307,$C$2:$C$500,C307,$F$2:$F$500,F307,$H$2:$H$500,"Trade estimate"))</f>
        <v/>
      </c>
      <c r="M307" s="12" t="str">
        <f aca="false">IF(OR(J307="",J307&lt;2),"",IF(L307=0,"",(K307-L307)/L307))</f>
        <v/>
      </c>
      <c r="N307" s="13" t="str">
        <f aca="false">IF(B307="","",IF(J307&lt;2,"Needs 2+ trade sources",IF(M307&gt;Lists!$E$2,"CHECK","OK")))</f>
        <v/>
      </c>
      <c r="O307" s="9" t="str">
        <f aca="false">IF(B307="","",IF(J307&lt;2,"Needs 2+ trade sources",IF(M307&lt;=Lists!$E$6,"Good",IF(M307&lt;=Lists!$E$2,"Moderate","Bad"))))</f>
        <v/>
      </c>
    </row>
    <row r="308" customFormat="false" ht="14.25" hidden="false" customHeight="true" outlineLevel="0" collapsed="false">
      <c r="A308" s="6"/>
      <c r="B308" s="7"/>
      <c r="C308" s="8"/>
      <c r="D308" s="9" t="str">
        <f aca="false">IF(OR(B308="",C308=""),"",IFERROR(C308-INDEX(Films!$C$2:$C$100,MATCH(B308,Films!$A$2:$A$100,0))+1,""))</f>
        <v/>
      </c>
      <c r="E308" s="10"/>
      <c r="F308" s="7"/>
      <c r="G308" s="7"/>
      <c r="H308" s="7"/>
      <c r="I308" s="7"/>
      <c r="J308" s="9" t="str">
        <f aca="false">IF(B308="","",COUNTIFS($B$2:$B$500,B308,$C$2:$C$500,C308,$F$2:$F$500,F308,$H$2:$H$500,"Trade estimate"))</f>
        <v/>
      </c>
      <c r="K308" s="11" t="str">
        <f aca="false">IF(OR(J308="",J308=0),"",_xlfn.MAXIFS($E$2:$E$500,$B$2:$B$500,B308,$C$2:$C$500,C308,$F$2:$F$500,F308,$H$2:$H$500,"Trade estimate"))</f>
        <v/>
      </c>
      <c r="L308" s="11" t="str">
        <f aca="false">IF(OR(J308="",J308=0),"",_xlfn.MINIFS($E$2:$E$500,$B$2:$B$500,B308,$C$2:$C$500,C308,$F$2:$F$500,F308,$H$2:$H$500,"Trade estimate"))</f>
        <v/>
      </c>
      <c r="M308" s="12" t="str">
        <f aca="false">IF(OR(J308="",J308&lt;2),"",IF(L308=0,"",(K308-L308)/L308))</f>
        <v/>
      </c>
      <c r="N308" s="13" t="str">
        <f aca="false">IF(B308="","",IF(J308&lt;2,"Needs 2+ trade sources",IF(M308&gt;Lists!$E$2,"CHECK","OK")))</f>
        <v/>
      </c>
      <c r="O308" s="9" t="str">
        <f aca="false">IF(B308="","",IF(J308&lt;2,"Needs 2+ trade sources",IF(M308&lt;=Lists!$E$6,"Good",IF(M308&lt;=Lists!$E$2,"Moderate","Bad"))))</f>
        <v/>
      </c>
    </row>
    <row r="309" customFormat="false" ht="14.25" hidden="false" customHeight="true" outlineLevel="0" collapsed="false">
      <c r="A309" s="6"/>
      <c r="B309" s="7"/>
      <c r="C309" s="8"/>
      <c r="D309" s="9" t="str">
        <f aca="false">IF(OR(B309="",C309=""),"",IFERROR(C309-INDEX(Films!$C$2:$C$100,MATCH(B309,Films!$A$2:$A$100,0))+1,""))</f>
        <v/>
      </c>
      <c r="E309" s="10"/>
      <c r="F309" s="7"/>
      <c r="G309" s="7"/>
      <c r="H309" s="7"/>
      <c r="I309" s="7"/>
      <c r="J309" s="9" t="str">
        <f aca="false">IF(B309="","",COUNTIFS($B$2:$B$500,B309,$C$2:$C$500,C309,$F$2:$F$500,F309,$H$2:$H$500,"Trade estimate"))</f>
        <v/>
      </c>
      <c r="K309" s="11" t="str">
        <f aca="false">IF(OR(J309="",J309=0),"",_xlfn.MAXIFS($E$2:$E$500,$B$2:$B$500,B309,$C$2:$C$500,C309,$F$2:$F$500,F309,$H$2:$H$500,"Trade estimate"))</f>
        <v/>
      </c>
      <c r="L309" s="11" t="str">
        <f aca="false">IF(OR(J309="",J309=0),"",_xlfn.MINIFS($E$2:$E$500,$B$2:$B$500,B309,$C$2:$C$500,C309,$F$2:$F$500,F309,$H$2:$H$500,"Trade estimate"))</f>
        <v/>
      </c>
      <c r="M309" s="12" t="str">
        <f aca="false">IF(OR(J309="",J309&lt;2),"",IF(L309=0,"",(K309-L309)/L309))</f>
        <v/>
      </c>
      <c r="N309" s="13" t="str">
        <f aca="false">IF(B309="","",IF(J309&lt;2,"Needs 2+ trade sources",IF(M309&gt;Lists!$E$2,"CHECK","OK")))</f>
        <v/>
      </c>
      <c r="O309" s="9" t="str">
        <f aca="false">IF(B309="","",IF(J309&lt;2,"Needs 2+ trade sources",IF(M309&lt;=Lists!$E$6,"Good",IF(M309&lt;=Lists!$E$2,"Moderate","Bad"))))</f>
        <v/>
      </c>
    </row>
    <row r="310" customFormat="false" ht="14.25" hidden="false" customHeight="true" outlineLevel="0" collapsed="false">
      <c r="A310" s="6"/>
      <c r="B310" s="7"/>
      <c r="C310" s="8"/>
      <c r="D310" s="9" t="str">
        <f aca="false">IF(OR(B310="",C310=""),"",IFERROR(C310-INDEX(Films!$C$2:$C$100,MATCH(B310,Films!$A$2:$A$100,0))+1,""))</f>
        <v/>
      </c>
      <c r="E310" s="10"/>
      <c r="F310" s="7"/>
      <c r="G310" s="7"/>
      <c r="H310" s="7"/>
      <c r="I310" s="7"/>
      <c r="J310" s="9" t="str">
        <f aca="false">IF(B310="","",COUNTIFS($B$2:$B$500,B310,$C$2:$C$500,C310,$F$2:$F$500,F310,$H$2:$H$500,"Trade estimate"))</f>
        <v/>
      </c>
      <c r="K310" s="11" t="str">
        <f aca="false">IF(OR(J310="",J310=0),"",_xlfn.MAXIFS($E$2:$E$500,$B$2:$B$500,B310,$C$2:$C$500,C310,$F$2:$F$500,F310,$H$2:$H$500,"Trade estimate"))</f>
        <v/>
      </c>
      <c r="L310" s="11" t="str">
        <f aca="false">IF(OR(J310="",J310=0),"",_xlfn.MINIFS($E$2:$E$500,$B$2:$B$500,B310,$C$2:$C$500,C310,$F$2:$F$500,F310,$H$2:$H$500,"Trade estimate"))</f>
        <v/>
      </c>
      <c r="M310" s="12" t="str">
        <f aca="false">IF(OR(J310="",J310&lt;2),"",IF(L310=0,"",(K310-L310)/L310))</f>
        <v/>
      </c>
      <c r="N310" s="13" t="str">
        <f aca="false">IF(B310="","",IF(J310&lt;2,"Needs 2+ trade sources",IF(M310&gt;Lists!$E$2,"CHECK","OK")))</f>
        <v/>
      </c>
      <c r="O310" s="9" t="str">
        <f aca="false">IF(B310="","",IF(J310&lt;2,"Needs 2+ trade sources",IF(M310&lt;=Lists!$E$6,"Good",IF(M310&lt;=Lists!$E$2,"Moderate","Bad"))))</f>
        <v/>
      </c>
    </row>
    <row r="311" customFormat="false" ht="14.25" hidden="false" customHeight="true" outlineLevel="0" collapsed="false">
      <c r="A311" s="6"/>
      <c r="B311" s="7"/>
      <c r="C311" s="8"/>
      <c r="D311" s="9" t="str">
        <f aca="false">IF(OR(B311="",C311=""),"",IFERROR(C311-INDEX(Films!$C$2:$C$100,MATCH(B311,Films!$A$2:$A$100,0))+1,""))</f>
        <v/>
      </c>
      <c r="E311" s="10"/>
      <c r="F311" s="7"/>
      <c r="G311" s="7"/>
      <c r="H311" s="7"/>
      <c r="I311" s="7"/>
      <c r="J311" s="9" t="str">
        <f aca="false">IF(B311="","",COUNTIFS($B$2:$B$500,B311,$C$2:$C$500,C311,$F$2:$F$500,F311,$H$2:$H$500,"Trade estimate"))</f>
        <v/>
      </c>
      <c r="K311" s="11" t="str">
        <f aca="false">IF(OR(J311="",J311=0),"",_xlfn.MAXIFS($E$2:$E$500,$B$2:$B$500,B311,$C$2:$C$500,C311,$F$2:$F$500,F311,$H$2:$H$500,"Trade estimate"))</f>
        <v/>
      </c>
      <c r="L311" s="11" t="str">
        <f aca="false">IF(OR(J311="",J311=0),"",_xlfn.MINIFS($E$2:$E$500,$B$2:$B$500,B311,$C$2:$C$500,C311,$F$2:$F$500,F311,$H$2:$H$500,"Trade estimate"))</f>
        <v/>
      </c>
      <c r="M311" s="12" t="str">
        <f aca="false">IF(OR(J311="",J311&lt;2),"",IF(L311=0,"",(K311-L311)/L311))</f>
        <v/>
      </c>
      <c r="N311" s="13" t="str">
        <f aca="false">IF(B311="","",IF(J311&lt;2,"Needs 2+ trade sources",IF(M311&gt;Lists!$E$2,"CHECK","OK")))</f>
        <v/>
      </c>
      <c r="O311" s="9" t="str">
        <f aca="false">IF(B311="","",IF(J311&lt;2,"Needs 2+ trade sources",IF(M311&lt;=Lists!$E$6,"Good",IF(M311&lt;=Lists!$E$2,"Moderate","Bad"))))</f>
        <v/>
      </c>
    </row>
    <row r="312" customFormat="false" ht="14.25" hidden="false" customHeight="true" outlineLevel="0" collapsed="false">
      <c r="A312" s="6"/>
      <c r="B312" s="7"/>
      <c r="C312" s="8"/>
      <c r="D312" s="9" t="str">
        <f aca="false">IF(OR(B312="",C312=""),"",IFERROR(C312-INDEX(Films!$C$2:$C$100,MATCH(B312,Films!$A$2:$A$100,0))+1,""))</f>
        <v/>
      </c>
      <c r="E312" s="10"/>
      <c r="F312" s="7"/>
      <c r="G312" s="7"/>
      <c r="H312" s="7"/>
      <c r="I312" s="7"/>
      <c r="J312" s="9" t="str">
        <f aca="false">IF(B312="","",COUNTIFS($B$2:$B$500,B312,$C$2:$C$500,C312,$F$2:$F$500,F312,$H$2:$H$500,"Trade estimate"))</f>
        <v/>
      </c>
      <c r="K312" s="11" t="str">
        <f aca="false">IF(OR(J312="",J312=0),"",_xlfn.MAXIFS($E$2:$E$500,$B$2:$B$500,B312,$C$2:$C$500,C312,$F$2:$F$500,F312,$H$2:$H$500,"Trade estimate"))</f>
        <v/>
      </c>
      <c r="L312" s="11" t="str">
        <f aca="false">IF(OR(J312="",J312=0),"",_xlfn.MINIFS($E$2:$E$500,$B$2:$B$500,B312,$C$2:$C$500,C312,$F$2:$F$500,F312,$H$2:$H$500,"Trade estimate"))</f>
        <v/>
      </c>
      <c r="M312" s="12" t="str">
        <f aca="false">IF(OR(J312="",J312&lt;2),"",IF(L312=0,"",(K312-L312)/L312))</f>
        <v/>
      </c>
      <c r="N312" s="13" t="str">
        <f aca="false">IF(B312="","",IF(J312&lt;2,"Needs 2+ trade sources",IF(M312&gt;Lists!$E$2,"CHECK","OK")))</f>
        <v/>
      </c>
      <c r="O312" s="9" t="str">
        <f aca="false">IF(B312="","",IF(J312&lt;2,"Needs 2+ trade sources",IF(M312&lt;=Lists!$E$6,"Good",IF(M312&lt;=Lists!$E$2,"Moderate","Bad"))))</f>
        <v/>
      </c>
    </row>
    <row r="313" customFormat="false" ht="14.25" hidden="false" customHeight="true" outlineLevel="0" collapsed="false">
      <c r="A313" s="6"/>
      <c r="B313" s="7"/>
      <c r="C313" s="8"/>
      <c r="D313" s="9" t="str">
        <f aca="false">IF(OR(B313="",C313=""),"",IFERROR(C313-INDEX(Films!$C$2:$C$100,MATCH(B313,Films!$A$2:$A$100,0))+1,""))</f>
        <v/>
      </c>
      <c r="E313" s="10"/>
      <c r="F313" s="7"/>
      <c r="G313" s="7"/>
      <c r="H313" s="7"/>
      <c r="I313" s="7"/>
      <c r="J313" s="9" t="str">
        <f aca="false">IF(B313="","",COUNTIFS($B$2:$B$500,B313,$C$2:$C$500,C313,$F$2:$F$500,F313,$H$2:$H$500,"Trade estimate"))</f>
        <v/>
      </c>
      <c r="K313" s="11" t="str">
        <f aca="false">IF(OR(J313="",J313=0),"",_xlfn.MAXIFS($E$2:$E$500,$B$2:$B$500,B313,$C$2:$C$500,C313,$F$2:$F$500,F313,$H$2:$H$500,"Trade estimate"))</f>
        <v/>
      </c>
      <c r="L313" s="11" t="str">
        <f aca="false">IF(OR(J313="",J313=0),"",_xlfn.MINIFS($E$2:$E$500,$B$2:$B$500,B313,$C$2:$C$500,C313,$F$2:$F$500,F313,$H$2:$H$500,"Trade estimate"))</f>
        <v/>
      </c>
      <c r="M313" s="12" t="str">
        <f aca="false">IF(OR(J313="",J313&lt;2),"",IF(L313=0,"",(K313-L313)/L313))</f>
        <v/>
      </c>
      <c r="N313" s="13" t="str">
        <f aca="false">IF(B313="","",IF(J313&lt;2,"Needs 2+ trade sources",IF(M313&gt;Lists!$E$2,"CHECK","OK")))</f>
        <v/>
      </c>
      <c r="O313" s="9" t="str">
        <f aca="false">IF(B313="","",IF(J313&lt;2,"Needs 2+ trade sources",IF(M313&lt;=Lists!$E$6,"Good",IF(M313&lt;=Lists!$E$2,"Moderate","Bad"))))</f>
        <v/>
      </c>
    </row>
    <row r="314" customFormat="false" ht="14.25" hidden="false" customHeight="true" outlineLevel="0" collapsed="false">
      <c r="A314" s="6"/>
      <c r="B314" s="7"/>
      <c r="C314" s="8"/>
      <c r="D314" s="9" t="str">
        <f aca="false">IF(OR(B314="",C314=""),"",IFERROR(C314-INDEX(Films!$C$2:$C$100,MATCH(B314,Films!$A$2:$A$100,0))+1,""))</f>
        <v/>
      </c>
      <c r="E314" s="10"/>
      <c r="F314" s="7"/>
      <c r="G314" s="7"/>
      <c r="H314" s="7"/>
      <c r="I314" s="7"/>
      <c r="J314" s="9" t="str">
        <f aca="false">IF(B314="","",COUNTIFS($B$2:$B$500,B314,$C$2:$C$500,C314,$F$2:$F$500,F314,$H$2:$H$500,"Trade estimate"))</f>
        <v/>
      </c>
      <c r="K314" s="11" t="str">
        <f aca="false">IF(OR(J314="",J314=0),"",_xlfn.MAXIFS($E$2:$E$500,$B$2:$B$500,B314,$C$2:$C$500,C314,$F$2:$F$500,F314,$H$2:$H$500,"Trade estimate"))</f>
        <v/>
      </c>
      <c r="L314" s="11" t="str">
        <f aca="false">IF(OR(J314="",J314=0),"",_xlfn.MINIFS($E$2:$E$500,$B$2:$B$500,B314,$C$2:$C$500,C314,$F$2:$F$500,F314,$H$2:$H$500,"Trade estimate"))</f>
        <v/>
      </c>
      <c r="M314" s="12" t="str">
        <f aca="false">IF(OR(J314="",J314&lt;2),"",IF(L314=0,"",(K314-L314)/L314))</f>
        <v/>
      </c>
      <c r="N314" s="13" t="str">
        <f aca="false">IF(B314="","",IF(J314&lt;2,"Needs 2+ trade sources",IF(M314&gt;Lists!$E$2,"CHECK","OK")))</f>
        <v/>
      </c>
      <c r="O314" s="9" t="str">
        <f aca="false">IF(B314="","",IF(J314&lt;2,"Needs 2+ trade sources",IF(M314&lt;=Lists!$E$6,"Good",IF(M314&lt;=Lists!$E$2,"Moderate","Bad"))))</f>
        <v/>
      </c>
    </row>
    <row r="315" customFormat="false" ht="14.25" hidden="false" customHeight="true" outlineLevel="0" collapsed="false">
      <c r="A315" s="6"/>
      <c r="B315" s="7"/>
      <c r="C315" s="8"/>
      <c r="D315" s="9" t="str">
        <f aca="false">IF(OR(B315="",C315=""),"",IFERROR(C315-INDEX(Films!$C$2:$C$100,MATCH(B315,Films!$A$2:$A$100,0))+1,""))</f>
        <v/>
      </c>
      <c r="E315" s="10"/>
      <c r="F315" s="7"/>
      <c r="G315" s="7"/>
      <c r="H315" s="7"/>
      <c r="I315" s="7"/>
      <c r="J315" s="9" t="str">
        <f aca="false">IF(B315="","",COUNTIFS($B$2:$B$500,B315,$C$2:$C$500,C315,$F$2:$F$500,F315,$H$2:$H$500,"Trade estimate"))</f>
        <v/>
      </c>
      <c r="K315" s="11" t="str">
        <f aca="false">IF(OR(J315="",J315=0),"",_xlfn.MAXIFS($E$2:$E$500,$B$2:$B$500,B315,$C$2:$C$500,C315,$F$2:$F$500,F315,$H$2:$H$500,"Trade estimate"))</f>
        <v/>
      </c>
      <c r="L315" s="11" t="str">
        <f aca="false">IF(OR(J315="",J315=0),"",_xlfn.MINIFS($E$2:$E$500,$B$2:$B$500,B315,$C$2:$C$500,C315,$F$2:$F$500,F315,$H$2:$H$500,"Trade estimate"))</f>
        <v/>
      </c>
      <c r="M315" s="12" t="str">
        <f aca="false">IF(OR(J315="",J315&lt;2),"",IF(L315=0,"",(K315-L315)/L315))</f>
        <v/>
      </c>
      <c r="N315" s="13" t="str">
        <f aca="false">IF(B315="","",IF(J315&lt;2,"Needs 2+ trade sources",IF(M315&gt;Lists!$E$2,"CHECK","OK")))</f>
        <v/>
      </c>
      <c r="O315" s="9" t="str">
        <f aca="false">IF(B315="","",IF(J315&lt;2,"Needs 2+ trade sources",IF(M315&lt;=Lists!$E$6,"Good",IF(M315&lt;=Lists!$E$2,"Moderate","Bad"))))</f>
        <v/>
      </c>
    </row>
    <row r="316" customFormat="false" ht="14.25" hidden="false" customHeight="true" outlineLevel="0" collapsed="false">
      <c r="A316" s="6"/>
      <c r="B316" s="7"/>
      <c r="C316" s="8"/>
      <c r="D316" s="9" t="str">
        <f aca="false">IF(OR(B316="",C316=""),"",IFERROR(C316-INDEX(Films!$C$2:$C$100,MATCH(B316,Films!$A$2:$A$100,0))+1,""))</f>
        <v/>
      </c>
      <c r="E316" s="10"/>
      <c r="F316" s="7"/>
      <c r="G316" s="7"/>
      <c r="H316" s="7"/>
      <c r="I316" s="7"/>
      <c r="J316" s="9" t="str">
        <f aca="false">IF(B316="","",COUNTIFS($B$2:$B$500,B316,$C$2:$C$500,C316,$F$2:$F$500,F316,$H$2:$H$500,"Trade estimate"))</f>
        <v/>
      </c>
      <c r="K316" s="11" t="str">
        <f aca="false">IF(OR(J316="",J316=0),"",_xlfn.MAXIFS($E$2:$E$500,$B$2:$B$500,B316,$C$2:$C$500,C316,$F$2:$F$500,F316,$H$2:$H$500,"Trade estimate"))</f>
        <v/>
      </c>
      <c r="L316" s="11" t="str">
        <f aca="false">IF(OR(J316="",J316=0),"",_xlfn.MINIFS($E$2:$E$500,$B$2:$B$500,B316,$C$2:$C$500,C316,$F$2:$F$500,F316,$H$2:$H$500,"Trade estimate"))</f>
        <v/>
      </c>
      <c r="M316" s="12" t="str">
        <f aca="false">IF(OR(J316="",J316&lt;2),"",IF(L316=0,"",(K316-L316)/L316))</f>
        <v/>
      </c>
      <c r="N316" s="13" t="str">
        <f aca="false">IF(B316="","",IF(J316&lt;2,"Needs 2+ trade sources",IF(M316&gt;Lists!$E$2,"CHECK","OK")))</f>
        <v/>
      </c>
      <c r="O316" s="9" t="str">
        <f aca="false">IF(B316="","",IF(J316&lt;2,"Needs 2+ trade sources",IF(M316&lt;=Lists!$E$6,"Good",IF(M316&lt;=Lists!$E$2,"Moderate","Bad"))))</f>
        <v/>
      </c>
    </row>
    <row r="317" customFormat="false" ht="14.25" hidden="false" customHeight="true" outlineLevel="0" collapsed="false">
      <c r="A317" s="6"/>
      <c r="B317" s="7"/>
      <c r="C317" s="8"/>
      <c r="D317" s="9" t="str">
        <f aca="false">IF(OR(B317="",C317=""),"",IFERROR(C317-INDEX(Films!$C$2:$C$100,MATCH(B317,Films!$A$2:$A$100,0))+1,""))</f>
        <v/>
      </c>
      <c r="E317" s="10"/>
      <c r="F317" s="7"/>
      <c r="G317" s="7"/>
      <c r="H317" s="7"/>
      <c r="I317" s="7"/>
      <c r="J317" s="9" t="str">
        <f aca="false">IF(B317="","",COUNTIFS($B$2:$B$500,B317,$C$2:$C$500,C317,$F$2:$F$500,F317,$H$2:$H$500,"Trade estimate"))</f>
        <v/>
      </c>
      <c r="K317" s="11" t="str">
        <f aca="false">IF(OR(J317="",J317=0),"",_xlfn.MAXIFS($E$2:$E$500,$B$2:$B$500,B317,$C$2:$C$500,C317,$F$2:$F$500,F317,$H$2:$H$500,"Trade estimate"))</f>
        <v/>
      </c>
      <c r="L317" s="11" t="str">
        <f aca="false">IF(OR(J317="",J317=0),"",_xlfn.MINIFS($E$2:$E$500,$B$2:$B$500,B317,$C$2:$C$500,C317,$F$2:$F$500,F317,$H$2:$H$500,"Trade estimate"))</f>
        <v/>
      </c>
      <c r="M317" s="12" t="str">
        <f aca="false">IF(OR(J317="",J317&lt;2),"",IF(L317=0,"",(K317-L317)/L317))</f>
        <v/>
      </c>
      <c r="N317" s="13" t="str">
        <f aca="false">IF(B317="","",IF(J317&lt;2,"Needs 2+ trade sources",IF(M317&gt;Lists!$E$2,"CHECK","OK")))</f>
        <v/>
      </c>
      <c r="O317" s="9" t="str">
        <f aca="false">IF(B317="","",IF(J317&lt;2,"Needs 2+ trade sources",IF(M317&lt;=Lists!$E$6,"Good",IF(M317&lt;=Lists!$E$2,"Moderate","Bad"))))</f>
        <v/>
      </c>
    </row>
    <row r="318" customFormat="false" ht="14.25" hidden="false" customHeight="true" outlineLevel="0" collapsed="false">
      <c r="A318" s="6"/>
      <c r="B318" s="7"/>
      <c r="C318" s="8"/>
      <c r="D318" s="9" t="str">
        <f aca="false">IF(OR(B318="",C318=""),"",IFERROR(C318-INDEX(Films!$C$2:$C$100,MATCH(B318,Films!$A$2:$A$100,0))+1,""))</f>
        <v/>
      </c>
      <c r="E318" s="10"/>
      <c r="F318" s="7"/>
      <c r="G318" s="7"/>
      <c r="H318" s="7"/>
      <c r="I318" s="7"/>
      <c r="J318" s="9" t="str">
        <f aca="false">IF(B318="","",COUNTIFS($B$2:$B$500,B318,$C$2:$C$500,C318,$F$2:$F$500,F318,$H$2:$H$500,"Trade estimate"))</f>
        <v/>
      </c>
      <c r="K318" s="11" t="str">
        <f aca="false">IF(OR(J318="",J318=0),"",_xlfn.MAXIFS($E$2:$E$500,$B$2:$B$500,B318,$C$2:$C$500,C318,$F$2:$F$500,F318,$H$2:$H$500,"Trade estimate"))</f>
        <v/>
      </c>
      <c r="L318" s="11" t="str">
        <f aca="false">IF(OR(J318="",J318=0),"",_xlfn.MINIFS($E$2:$E$500,$B$2:$B$500,B318,$C$2:$C$500,C318,$F$2:$F$500,F318,$H$2:$H$500,"Trade estimate"))</f>
        <v/>
      </c>
      <c r="M318" s="12" t="str">
        <f aca="false">IF(OR(J318="",J318&lt;2),"",IF(L318=0,"",(K318-L318)/L318))</f>
        <v/>
      </c>
      <c r="N318" s="13" t="str">
        <f aca="false">IF(B318="","",IF(J318&lt;2,"Needs 2+ trade sources",IF(M318&gt;Lists!$E$2,"CHECK","OK")))</f>
        <v/>
      </c>
      <c r="O318" s="9" t="str">
        <f aca="false">IF(B318="","",IF(J318&lt;2,"Needs 2+ trade sources",IF(M318&lt;=Lists!$E$6,"Good",IF(M318&lt;=Lists!$E$2,"Moderate","Bad"))))</f>
        <v/>
      </c>
    </row>
    <row r="319" customFormat="false" ht="14.25" hidden="false" customHeight="true" outlineLevel="0" collapsed="false">
      <c r="A319" s="6"/>
      <c r="B319" s="7"/>
      <c r="C319" s="8"/>
      <c r="D319" s="9" t="str">
        <f aca="false">IF(OR(B319="",C319=""),"",IFERROR(C319-INDEX(Films!$C$2:$C$100,MATCH(B319,Films!$A$2:$A$100,0))+1,""))</f>
        <v/>
      </c>
      <c r="E319" s="10"/>
      <c r="F319" s="7"/>
      <c r="G319" s="7"/>
      <c r="H319" s="7"/>
      <c r="I319" s="7"/>
      <c r="J319" s="9" t="str">
        <f aca="false">IF(B319="","",COUNTIFS($B$2:$B$500,B319,$C$2:$C$500,C319,$F$2:$F$500,F319,$H$2:$H$500,"Trade estimate"))</f>
        <v/>
      </c>
      <c r="K319" s="11" t="str">
        <f aca="false">IF(OR(J319="",J319=0),"",_xlfn.MAXIFS($E$2:$E$500,$B$2:$B$500,B319,$C$2:$C$500,C319,$F$2:$F$500,F319,$H$2:$H$500,"Trade estimate"))</f>
        <v/>
      </c>
      <c r="L319" s="11" t="str">
        <f aca="false">IF(OR(J319="",J319=0),"",_xlfn.MINIFS($E$2:$E$500,$B$2:$B$500,B319,$C$2:$C$500,C319,$F$2:$F$500,F319,$H$2:$H$500,"Trade estimate"))</f>
        <v/>
      </c>
      <c r="M319" s="12" t="str">
        <f aca="false">IF(OR(J319="",J319&lt;2),"",IF(L319=0,"",(K319-L319)/L319))</f>
        <v/>
      </c>
      <c r="N319" s="13" t="str">
        <f aca="false">IF(B319="","",IF(J319&lt;2,"Needs 2+ trade sources",IF(M319&gt;Lists!$E$2,"CHECK","OK")))</f>
        <v/>
      </c>
      <c r="O319" s="9" t="str">
        <f aca="false">IF(B319="","",IF(J319&lt;2,"Needs 2+ trade sources",IF(M319&lt;=Lists!$E$6,"Good",IF(M319&lt;=Lists!$E$2,"Moderate","Bad"))))</f>
        <v/>
      </c>
    </row>
    <row r="320" customFormat="false" ht="14.25" hidden="false" customHeight="true" outlineLevel="0" collapsed="false">
      <c r="A320" s="6"/>
      <c r="B320" s="7"/>
      <c r="C320" s="8"/>
      <c r="D320" s="9" t="str">
        <f aca="false">IF(OR(B320="",C320=""),"",IFERROR(C320-INDEX(Films!$C$2:$C$100,MATCH(B320,Films!$A$2:$A$100,0))+1,""))</f>
        <v/>
      </c>
      <c r="E320" s="10"/>
      <c r="F320" s="7"/>
      <c r="G320" s="7"/>
      <c r="H320" s="7"/>
      <c r="I320" s="7"/>
      <c r="J320" s="9" t="str">
        <f aca="false">IF(B320="","",COUNTIFS($B$2:$B$500,B320,$C$2:$C$500,C320,$F$2:$F$500,F320,$H$2:$H$500,"Trade estimate"))</f>
        <v/>
      </c>
      <c r="K320" s="11" t="str">
        <f aca="false">IF(OR(J320="",J320=0),"",_xlfn.MAXIFS($E$2:$E$500,$B$2:$B$500,B320,$C$2:$C$500,C320,$F$2:$F$500,F320,$H$2:$H$500,"Trade estimate"))</f>
        <v/>
      </c>
      <c r="L320" s="11" t="str">
        <f aca="false">IF(OR(J320="",J320=0),"",_xlfn.MINIFS($E$2:$E$500,$B$2:$B$500,B320,$C$2:$C$500,C320,$F$2:$F$500,F320,$H$2:$H$500,"Trade estimate"))</f>
        <v/>
      </c>
      <c r="M320" s="12" t="str">
        <f aca="false">IF(OR(J320="",J320&lt;2),"",IF(L320=0,"",(K320-L320)/L320))</f>
        <v/>
      </c>
      <c r="N320" s="13" t="str">
        <f aca="false">IF(B320="","",IF(J320&lt;2,"Needs 2+ trade sources",IF(M320&gt;Lists!$E$2,"CHECK","OK")))</f>
        <v/>
      </c>
      <c r="O320" s="9" t="str">
        <f aca="false">IF(B320="","",IF(J320&lt;2,"Needs 2+ trade sources",IF(M320&lt;=Lists!$E$6,"Good",IF(M320&lt;=Lists!$E$2,"Moderate","Bad"))))</f>
        <v/>
      </c>
    </row>
    <row r="321" customFormat="false" ht="14.25" hidden="false" customHeight="true" outlineLevel="0" collapsed="false">
      <c r="A321" s="6"/>
      <c r="B321" s="7"/>
      <c r="C321" s="8"/>
      <c r="D321" s="9" t="str">
        <f aca="false">IF(OR(B321="",C321=""),"",IFERROR(C321-INDEX(Films!$C$2:$C$100,MATCH(B321,Films!$A$2:$A$100,0))+1,""))</f>
        <v/>
      </c>
      <c r="E321" s="10"/>
      <c r="F321" s="7"/>
      <c r="G321" s="7"/>
      <c r="H321" s="7"/>
      <c r="I321" s="7"/>
      <c r="J321" s="9" t="str">
        <f aca="false">IF(B321="","",COUNTIFS($B$2:$B$500,B321,$C$2:$C$500,C321,$F$2:$F$500,F321,$H$2:$H$500,"Trade estimate"))</f>
        <v/>
      </c>
      <c r="K321" s="11" t="str">
        <f aca="false">IF(OR(J321="",J321=0),"",_xlfn.MAXIFS($E$2:$E$500,$B$2:$B$500,B321,$C$2:$C$500,C321,$F$2:$F$500,F321,$H$2:$H$500,"Trade estimate"))</f>
        <v/>
      </c>
      <c r="L321" s="11" t="str">
        <f aca="false">IF(OR(J321="",J321=0),"",_xlfn.MINIFS($E$2:$E$500,$B$2:$B$500,B321,$C$2:$C$500,C321,$F$2:$F$500,F321,$H$2:$H$500,"Trade estimate"))</f>
        <v/>
      </c>
      <c r="M321" s="12" t="str">
        <f aca="false">IF(OR(J321="",J321&lt;2),"",IF(L321=0,"",(K321-L321)/L321))</f>
        <v/>
      </c>
      <c r="N321" s="13" t="str">
        <f aca="false">IF(B321="","",IF(J321&lt;2,"Needs 2+ trade sources",IF(M321&gt;Lists!$E$2,"CHECK","OK")))</f>
        <v/>
      </c>
      <c r="O321" s="9" t="str">
        <f aca="false">IF(B321="","",IF(J321&lt;2,"Needs 2+ trade sources",IF(M321&lt;=Lists!$E$6,"Good",IF(M321&lt;=Lists!$E$2,"Moderate","Bad"))))</f>
        <v/>
      </c>
    </row>
    <row r="322" customFormat="false" ht="14.25" hidden="false" customHeight="true" outlineLevel="0" collapsed="false">
      <c r="A322" s="6"/>
      <c r="B322" s="7"/>
      <c r="C322" s="8"/>
      <c r="D322" s="9" t="str">
        <f aca="false">IF(OR(B322="",C322=""),"",IFERROR(C322-INDEX(Films!$C$2:$C$100,MATCH(B322,Films!$A$2:$A$100,0))+1,""))</f>
        <v/>
      </c>
      <c r="E322" s="10"/>
      <c r="F322" s="7"/>
      <c r="G322" s="7"/>
      <c r="H322" s="7"/>
      <c r="I322" s="7"/>
      <c r="J322" s="9" t="str">
        <f aca="false">IF(B322="","",COUNTIFS($B$2:$B$500,B322,$C$2:$C$500,C322,$F$2:$F$500,F322,$H$2:$H$500,"Trade estimate"))</f>
        <v/>
      </c>
      <c r="K322" s="11" t="str">
        <f aca="false">IF(OR(J322="",J322=0),"",_xlfn.MAXIFS($E$2:$E$500,$B$2:$B$500,B322,$C$2:$C$500,C322,$F$2:$F$500,F322,$H$2:$H$500,"Trade estimate"))</f>
        <v/>
      </c>
      <c r="L322" s="11" t="str">
        <f aca="false">IF(OR(J322="",J322=0),"",_xlfn.MINIFS($E$2:$E$500,$B$2:$B$500,B322,$C$2:$C$500,C322,$F$2:$F$500,F322,$H$2:$H$500,"Trade estimate"))</f>
        <v/>
      </c>
      <c r="M322" s="12" t="str">
        <f aca="false">IF(OR(J322="",J322&lt;2),"",IF(L322=0,"",(K322-L322)/L322))</f>
        <v/>
      </c>
      <c r="N322" s="13" t="str">
        <f aca="false">IF(B322="","",IF(J322&lt;2,"Needs 2+ trade sources",IF(M322&gt;Lists!$E$2,"CHECK","OK")))</f>
        <v/>
      </c>
      <c r="O322" s="9" t="str">
        <f aca="false">IF(B322="","",IF(J322&lt;2,"Needs 2+ trade sources",IF(M322&lt;=Lists!$E$6,"Good",IF(M322&lt;=Lists!$E$2,"Moderate","Bad"))))</f>
        <v/>
      </c>
    </row>
    <row r="323" customFormat="false" ht="14.25" hidden="false" customHeight="true" outlineLevel="0" collapsed="false">
      <c r="A323" s="6"/>
      <c r="B323" s="7"/>
      <c r="C323" s="8"/>
      <c r="D323" s="9" t="str">
        <f aca="false">IF(OR(B323="",C323=""),"",IFERROR(C323-INDEX(Films!$C$2:$C$100,MATCH(B323,Films!$A$2:$A$100,0))+1,""))</f>
        <v/>
      </c>
      <c r="E323" s="10"/>
      <c r="F323" s="7"/>
      <c r="G323" s="7"/>
      <c r="H323" s="7"/>
      <c r="I323" s="7"/>
      <c r="J323" s="9" t="str">
        <f aca="false">IF(B323="","",COUNTIFS($B$2:$B$500,B323,$C$2:$C$500,C323,$F$2:$F$500,F323,$H$2:$H$500,"Trade estimate"))</f>
        <v/>
      </c>
      <c r="K323" s="11" t="str">
        <f aca="false">IF(OR(J323="",J323=0),"",_xlfn.MAXIFS($E$2:$E$500,$B$2:$B$500,B323,$C$2:$C$500,C323,$F$2:$F$500,F323,$H$2:$H$500,"Trade estimate"))</f>
        <v/>
      </c>
      <c r="L323" s="11" t="str">
        <f aca="false">IF(OR(J323="",J323=0),"",_xlfn.MINIFS($E$2:$E$500,$B$2:$B$500,B323,$C$2:$C$500,C323,$F$2:$F$500,F323,$H$2:$H$500,"Trade estimate"))</f>
        <v/>
      </c>
      <c r="M323" s="12" t="str">
        <f aca="false">IF(OR(J323="",J323&lt;2),"",IF(L323=0,"",(K323-L323)/L323))</f>
        <v/>
      </c>
      <c r="N323" s="13" t="str">
        <f aca="false">IF(B323="","",IF(J323&lt;2,"Needs 2+ trade sources",IF(M323&gt;Lists!$E$2,"CHECK","OK")))</f>
        <v/>
      </c>
      <c r="O323" s="9" t="str">
        <f aca="false">IF(B323="","",IF(J323&lt;2,"Needs 2+ trade sources",IF(M323&lt;=Lists!$E$6,"Good",IF(M323&lt;=Lists!$E$2,"Moderate","Bad"))))</f>
        <v/>
      </c>
    </row>
    <row r="324" customFormat="false" ht="14.25" hidden="false" customHeight="true" outlineLevel="0" collapsed="false">
      <c r="A324" s="6"/>
      <c r="B324" s="7"/>
      <c r="C324" s="8"/>
      <c r="D324" s="9" t="str">
        <f aca="false">IF(OR(B324="",C324=""),"",IFERROR(C324-INDEX(Films!$C$2:$C$100,MATCH(B324,Films!$A$2:$A$100,0))+1,""))</f>
        <v/>
      </c>
      <c r="E324" s="10"/>
      <c r="F324" s="7"/>
      <c r="G324" s="7"/>
      <c r="H324" s="7"/>
      <c r="I324" s="7"/>
      <c r="J324" s="9" t="str">
        <f aca="false">IF(B324="","",COUNTIFS($B$2:$B$500,B324,$C$2:$C$500,C324,$F$2:$F$500,F324,$H$2:$H$500,"Trade estimate"))</f>
        <v/>
      </c>
      <c r="K324" s="11" t="str">
        <f aca="false">IF(OR(J324="",J324=0),"",_xlfn.MAXIFS($E$2:$E$500,$B$2:$B$500,B324,$C$2:$C$500,C324,$F$2:$F$500,F324,$H$2:$H$500,"Trade estimate"))</f>
        <v/>
      </c>
      <c r="L324" s="11" t="str">
        <f aca="false">IF(OR(J324="",J324=0),"",_xlfn.MINIFS($E$2:$E$500,$B$2:$B$500,B324,$C$2:$C$500,C324,$F$2:$F$500,F324,$H$2:$H$500,"Trade estimate"))</f>
        <v/>
      </c>
      <c r="M324" s="12" t="str">
        <f aca="false">IF(OR(J324="",J324&lt;2),"",IF(L324=0,"",(K324-L324)/L324))</f>
        <v/>
      </c>
      <c r="N324" s="13" t="str">
        <f aca="false">IF(B324="","",IF(J324&lt;2,"Needs 2+ trade sources",IF(M324&gt;Lists!$E$2,"CHECK","OK")))</f>
        <v/>
      </c>
      <c r="O324" s="9" t="str">
        <f aca="false">IF(B324="","",IF(J324&lt;2,"Needs 2+ trade sources",IF(M324&lt;=Lists!$E$6,"Good",IF(M324&lt;=Lists!$E$2,"Moderate","Bad"))))</f>
        <v/>
      </c>
    </row>
    <row r="325" customFormat="false" ht="14.25" hidden="false" customHeight="true" outlineLevel="0" collapsed="false">
      <c r="A325" s="6"/>
      <c r="B325" s="7"/>
      <c r="C325" s="8"/>
      <c r="D325" s="9" t="str">
        <f aca="false">IF(OR(B325="",C325=""),"",IFERROR(C325-INDEX(Films!$C$2:$C$100,MATCH(B325,Films!$A$2:$A$100,0))+1,""))</f>
        <v/>
      </c>
      <c r="E325" s="10"/>
      <c r="F325" s="7"/>
      <c r="G325" s="7"/>
      <c r="H325" s="7"/>
      <c r="I325" s="7"/>
      <c r="J325" s="9" t="str">
        <f aca="false">IF(B325="","",COUNTIFS($B$2:$B$500,B325,$C$2:$C$500,C325,$F$2:$F$500,F325,$H$2:$H$500,"Trade estimate"))</f>
        <v/>
      </c>
      <c r="K325" s="11" t="str">
        <f aca="false">IF(OR(J325="",J325=0),"",_xlfn.MAXIFS($E$2:$E$500,$B$2:$B$500,B325,$C$2:$C$500,C325,$F$2:$F$500,F325,$H$2:$H$500,"Trade estimate"))</f>
        <v/>
      </c>
      <c r="L325" s="11" t="str">
        <f aca="false">IF(OR(J325="",J325=0),"",_xlfn.MINIFS($E$2:$E$500,$B$2:$B$500,B325,$C$2:$C$500,C325,$F$2:$F$500,F325,$H$2:$H$500,"Trade estimate"))</f>
        <v/>
      </c>
      <c r="M325" s="12" t="str">
        <f aca="false">IF(OR(J325="",J325&lt;2),"",IF(L325=0,"",(K325-L325)/L325))</f>
        <v/>
      </c>
      <c r="N325" s="13" t="str">
        <f aca="false">IF(B325="","",IF(J325&lt;2,"Needs 2+ trade sources",IF(M325&gt;Lists!$E$2,"CHECK","OK")))</f>
        <v/>
      </c>
      <c r="O325" s="9" t="str">
        <f aca="false">IF(B325="","",IF(J325&lt;2,"Needs 2+ trade sources",IF(M325&lt;=Lists!$E$6,"Good",IF(M325&lt;=Lists!$E$2,"Moderate","Bad"))))</f>
        <v/>
      </c>
    </row>
    <row r="326" customFormat="false" ht="14.25" hidden="false" customHeight="true" outlineLevel="0" collapsed="false">
      <c r="A326" s="6"/>
      <c r="B326" s="7"/>
      <c r="C326" s="8"/>
      <c r="D326" s="9" t="str">
        <f aca="false">IF(OR(B326="",C326=""),"",IFERROR(C326-INDEX(Films!$C$2:$C$100,MATCH(B326,Films!$A$2:$A$100,0))+1,""))</f>
        <v/>
      </c>
      <c r="E326" s="10"/>
      <c r="F326" s="7"/>
      <c r="G326" s="7"/>
      <c r="H326" s="7"/>
      <c r="I326" s="7"/>
      <c r="J326" s="9" t="str">
        <f aca="false">IF(B326="","",COUNTIFS($B$2:$B$500,B326,$C$2:$C$500,C326,$F$2:$F$500,F326,$H$2:$H$500,"Trade estimate"))</f>
        <v/>
      </c>
      <c r="K326" s="11" t="str">
        <f aca="false">IF(OR(J326="",J326=0),"",_xlfn.MAXIFS($E$2:$E$500,$B$2:$B$500,B326,$C$2:$C$500,C326,$F$2:$F$500,F326,$H$2:$H$500,"Trade estimate"))</f>
        <v/>
      </c>
      <c r="L326" s="11" t="str">
        <f aca="false">IF(OR(J326="",J326=0),"",_xlfn.MINIFS($E$2:$E$500,$B$2:$B$500,B326,$C$2:$C$500,C326,$F$2:$F$500,F326,$H$2:$H$500,"Trade estimate"))</f>
        <v/>
      </c>
      <c r="M326" s="12" t="str">
        <f aca="false">IF(OR(J326="",J326&lt;2),"",IF(L326=0,"",(K326-L326)/L326))</f>
        <v/>
      </c>
      <c r="N326" s="13" t="str">
        <f aca="false">IF(B326="","",IF(J326&lt;2,"Needs 2+ trade sources",IF(M326&gt;Lists!$E$2,"CHECK","OK")))</f>
        <v/>
      </c>
      <c r="O326" s="9" t="str">
        <f aca="false">IF(B326="","",IF(J326&lt;2,"Needs 2+ trade sources",IF(M326&lt;=Lists!$E$6,"Good",IF(M326&lt;=Lists!$E$2,"Moderate","Bad"))))</f>
        <v/>
      </c>
    </row>
    <row r="327" customFormat="false" ht="14.25" hidden="false" customHeight="true" outlineLevel="0" collapsed="false">
      <c r="A327" s="6"/>
      <c r="B327" s="7"/>
      <c r="C327" s="8"/>
      <c r="D327" s="9" t="str">
        <f aca="false">IF(OR(B327="",C327=""),"",IFERROR(C327-INDEX(Films!$C$2:$C$100,MATCH(B327,Films!$A$2:$A$100,0))+1,""))</f>
        <v/>
      </c>
      <c r="E327" s="10"/>
      <c r="F327" s="7"/>
      <c r="G327" s="7"/>
      <c r="H327" s="7"/>
      <c r="I327" s="7"/>
      <c r="J327" s="9" t="str">
        <f aca="false">IF(B327="","",COUNTIFS($B$2:$B$500,B327,$C$2:$C$500,C327,$F$2:$F$500,F327,$H$2:$H$500,"Trade estimate"))</f>
        <v/>
      </c>
      <c r="K327" s="11" t="str">
        <f aca="false">IF(OR(J327="",J327=0),"",_xlfn.MAXIFS($E$2:$E$500,$B$2:$B$500,B327,$C$2:$C$500,C327,$F$2:$F$500,F327,$H$2:$H$500,"Trade estimate"))</f>
        <v/>
      </c>
      <c r="L327" s="11" t="str">
        <f aca="false">IF(OR(J327="",J327=0),"",_xlfn.MINIFS($E$2:$E$500,$B$2:$B$500,B327,$C$2:$C$500,C327,$F$2:$F$500,F327,$H$2:$H$500,"Trade estimate"))</f>
        <v/>
      </c>
      <c r="M327" s="12" t="str">
        <f aca="false">IF(OR(J327="",J327&lt;2),"",IF(L327=0,"",(K327-L327)/L327))</f>
        <v/>
      </c>
      <c r="N327" s="13" t="str">
        <f aca="false">IF(B327="","",IF(J327&lt;2,"Needs 2+ trade sources",IF(M327&gt;Lists!$E$2,"CHECK","OK")))</f>
        <v/>
      </c>
      <c r="O327" s="9" t="str">
        <f aca="false">IF(B327="","",IF(J327&lt;2,"Needs 2+ trade sources",IF(M327&lt;=Lists!$E$6,"Good",IF(M327&lt;=Lists!$E$2,"Moderate","Bad"))))</f>
        <v/>
      </c>
    </row>
    <row r="328" customFormat="false" ht="14.25" hidden="false" customHeight="true" outlineLevel="0" collapsed="false">
      <c r="A328" s="6"/>
      <c r="B328" s="7"/>
      <c r="C328" s="8"/>
      <c r="D328" s="9" t="str">
        <f aca="false">IF(OR(B328="",C328=""),"",IFERROR(C328-INDEX(Films!$C$2:$C$100,MATCH(B328,Films!$A$2:$A$100,0))+1,""))</f>
        <v/>
      </c>
      <c r="E328" s="10"/>
      <c r="F328" s="7"/>
      <c r="G328" s="7"/>
      <c r="H328" s="7"/>
      <c r="I328" s="7"/>
      <c r="J328" s="9" t="str">
        <f aca="false">IF(B328="","",COUNTIFS($B$2:$B$500,B328,$C$2:$C$500,C328,$F$2:$F$500,F328,$H$2:$H$500,"Trade estimate"))</f>
        <v/>
      </c>
      <c r="K328" s="11" t="str">
        <f aca="false">IF(OR(J328="",J328=0),"",_xlfn.MAXIFS($E$2:$E$500,$B$2:$B$500,B328,$C$2:$C$500,C328,$F$2:$F$500,F328,$H$2:$H$500,"Trade estimate"))</f>
        <v/>
      </c>
      <c r="L328" s="11" t="str">
        <f aca="false">IF(OR(J328="",J328=0),"",_xlfn.MINIFS($E$2:$E$500,$B$2:$B$500,B328,$C$2:$C$500,C328,$F$2:$F$500,F328,$H$2:$H$500,"Trade estimate"))</f>
        <v/>
      </c>
      <c r="M328" s="12" t="str">
        <f aca="false">IF(OR(J328="",J328&lt;2),"",IF(L328=0,"",(K328-L328)/L328))</f>
        <v/>
      </c>
      <c r="N328" s="13" t="str">
        <f aca="false">IF(B328="","",IF(J328&lt;2,"Needs 2+ trade sources",IF(M328&gt;Lists!$E$2,"CHECK","OK")))</f>
        <v/>
      </c>
      <c r="O328" s="9" t="str">
        <f aca="false">IF(B328="","",IF(J328&lt;2,"Needs 2+ trade sources",IF(M328&lt;=Lists!$E$6,"Good",IF(M328&lt;=Lists!$E$2,"Moderate","Bad"))))</f>
        <v/>
      </c>
    </row>
    <row r="329" customFormat="false" ht="14.25" hidden="false" customHeight="true" outlineLevel="0" collapsed="false">
      <c r="A329" s="6"/>
      <c r="B329" s="7"/>
      <c r="C329" s="8"/>
      <c r="D329" s="9" t="str">
        <f aca="false">IF(OR(B329="",C329=""),"",IFERROR(C329-INDEX(Films!$C$2:$C$100,MATCH(B329,Films!$A$2:$A$100,0))+1,""))</f>
        <v/>
      </c>
      <c r="E329" s="10"/>
      <c r="F329" s="7"/>
      <c r="G329" s="7"/>
      <c r="H329" s="7"/>
      <c r="I329" s="7"/>
      <c r="J329" s="9" t="str">
        <f aca="false">IF(B329="","",COUNTIFS($B$2:$B$500,B329,$C$2:$C$500,C329,$F$2:$F$500,F329,$H$2:$H$500,"Trade estimate"))</f>
        <v/>
      </c>
      <c r="K329" s="11" t="str">
        <f aca="false">IF(OR(J329="",J329=0),"",_xlfn.MAXIFS($E$2:$E$500,$B$2:$B$500,B329,$C$2:$C$500,C329,$F$2:$F$500,F329,$H$2:$H$500,"Trade estimate"))</f>
        <v/>
      </c>
      <c r="L329" s="11" t="str">
        <f aca="false">IF(OR(J329="",J329=0),"",_xlfn.MINIFS($E$2:$E$500,$B$2:$B$500,B329,$C$2:$C$500,C329,$F$2:$F$500,F329,$H$2:$H$500,"Trade estimate"))</f>
        <v/>
      </c>
      <c r="M329" s="12" t="str">
        <f aca="false">IF(OR(J329="",J329&lt;2),"",IF(L329=0,"",(K329-L329)/L329))</f>
        <v/>
      </c>
      <c r="N329" s="13" t="str">
        <f aca="false">IF(B329="","",IF(J329&lt;2,"Needs 2+ trade sources",IF(M329&gt;Lists!$E$2,"CHECK","OK")))</f>
        <v/>
      </c>
      <c r="O329" s="9" t="str">
        <f aca="false">IF(B329="","",IF(J329&lt;2,"Needs 2+ trade sources",IF(M329&lt;=Lists!$E$6,"Good",IF(M329&lt;=Lists!$E$2,"Moderate","Bad"))))</f>
        <v/>
      </c>
    </row>
    <row r="330" customFormat="false" ht="14.25" hidden="false" customHeight="true" outlineLevel="0" collapsed="false">
      <c r="A330" s="6"/>
      <c r="B330" s="7"/>
      <c r="C330" s="8"/>
      <c r="D330" s="9" t="str">
        <f aca="false">IF(OR(B330="",C330=""),"",IFERROR(C330-INDEX(Films!$C$2:$C$100,MATCH(B330,Films!$A$2:$A$100,0))+1,""))</f>
        <v/>
      </c>
      <c r="E330" s="10"/>
      <c r="F330" s="7"/>
      <c r="G330" s="7"/>
      <c r="H330" s="7"/>
      <c r="I330" s="7"/>
      <c r="J330" s="9" t="str">
        <f aca="false">IF(B330="","",COUNTIFS($B$2:$B$500,B330,$C$2:$C$500,C330,$F$2:$F$500,F330,$H$2:$H$500,"Trade estimate"))</f>
        <v/>
      </c>
      <c r="K330" s="11" t="str">
        <f aca="false">IF(OR(J330="",J330=0),"",_xlfn.MAXIFS($E$2:$E$500,$B$2:$B$500,B330,$C$2:$C$500,C330,$F$2:$F$500,F330,$H$2:$H$500,"Trade estimate"))</f>
        <v/>
      </c>
      <c r="L330" s="11" t="str">
        <f aca="false">IF(OR(J330="",J330=0),"",_xlfn.MINIFS($E$2:$E$500,$B$2:$B$500,B330,$C$2:$C$500,C330,$F$2:$F$500,F330,$H$2:$H$500,"Trade estimate"))</f>
        <v/>
      </c>
      <c r="M330" s="12" t="str">
        <f aca="false">IF(OR(J330="",J330&lt;2),"",IF(L330=0,"",(K330-L330)/L330))</f>
        <v/>
      </c>
      <c r="N330" s="13" t="str">
        <f aca="false">IF(B330="","",IF(J330&lt;2,"Needs 2+ trade sources",IF(M330&gt;Lists!$E$2,"CHECK","OK")))</f>
        <v/>
      </c>
      <c r="O330" s="9" t="str">
        <f aca="false">IF(B330="","",IF(J330&lt;2,"Needs 2+ trade sources",IF(M330&lt;=Lists!$E$6,"Good",IF(M330&lt;=Lists!$E$2,"Moderate","Bad"))))</f>
        <v/>
      </c>
    </row>
    <row r="331" customFormat="false" ht="14.25" hidden="false" customHeight="true" outlineLevel="0" collapsed="false">
      <c r="A331" s="6"/>
      <c r="B331" s="7"/>
      <c r="C331" s="8"/>
      <c r="D331" s="9" t="str">
        <f aca="false">IF(OR(B331="",C331=""),"",IFERROR(C331-INDEX(Films!$C$2:$C$100,MATCH(B331,Films!$A$2:$A$100,0))+1,""))</f>
        <v/>
      </c>
      <c r="E331" s="10"/>
      <c r="F331" s="7"/>
      <c r="G331" s="7"/>
      <c r="H331" s="7"/>
      <c r="I331" s="7"/>
      <c r="J331" s="9" t="str">
        <f aca="false">IF(B331="","",COUNTIFS($B$2:$B$500,B331,$C$2:$C$500,C331,$F$2:$F$500,F331,$H$2:$H$500,"Trade estimate"))</f>
        <v/>
      </c>
      <c r="K331" s="11" t="str">
        <f aca="false">IF(OR(J331="",J331=0),"",_xlfn.MAXIFS($E$2:$E$500,$B$2:$B$500,B331,$C$2:$C$500,C331,$F$2:$F$500,F331,$H$2:$H$500,"Trade estimate"))</f>
        <v/>
      </c>
      <c r="L331" s="11" t="str">
        <f aca="false">IF(OR(J331="",J331=0),"",_xlfn.MINIFS($E$2:$E$500,$B$2:$B$500,B331,$C$2:$C$500,C331,$F$2:$F$500,F331,$H$2:$H$500,"Trade estimate"))</f>
        <v/>
      </c>
      <c r="M331" s="12" t="str">
        <f aca="false">IF(OR(J331="",J331&lt;2),"",IF(L331=0,"",(K331-L331)/L331))</f>
        <v/>
      </c>
      <c r="N331" s="13" t="str">
        <f aca="false">IF(B331="","",IF(J331&lt;2,"Needs 2+ trade sources",IF(M331&gt;Lists!$E$2,"CHECK","OK")))</f>
        <v/>
      </c>
      <c r="O331" s="9" t="str">
        <f aca="false">IF(B331="","",IF(J331&lt;2,"Needs 2+ trade sources",IF(M331&lt;=Lists!$E$6,"Good",IF(M331&lt;=Lists!$E$2,"Moderate","Bad"))))</f>
        <v/>
      </c>
    </row>
    <row r="332" customFormat="false" ht="14.25" hidden="false" customHeight="true" outlineLevel="0" collapsed="false">
      <c r="A332" s="6"/>
      <c r="B332" s="7"/>
      <c r="C332" s="8"/>
      <c r="D332" s="9" t="str">
        <f aca="false">IF(OR(B332="",C332=""),"",IFERROR(C332-INDEX(Films!$C$2:$C$100,MATCH(B332,Films!$A$2:$A$100,0))+1,""))</f>
        <v/>
      </c>
      <c r="E332" s="10"/>
      <c r="F332" s="7"/>
      <c r="G332" s="7"/>
      <c r="H332" s="7"/>
      <c r="I332" s="7"/>
      <c r="J332" s="9" t="str">
        <f aca="false">IF(B332="","",COUNTIFS($B$2:$B$500,B332,$C$2:$C$500,C332,$F$2:$F$500,F332,$H$2:$H$500,"Trade estimate"))</f>
        <v/>
      </c>
      <c r="K332" s="11" t="str">
        <f aca="false">IF(OR(J332="",J332=0),"",_xlfn.MAXIFS($E$2:$E$500,$B$2:$B$500,B332,$C$2:$C$500,C332,$F$2:$F$500,F332,$H$2:$H$500,"Trade estimate"))</f>
        <v/>
      </c>
      <c r="L332" s="11" t="str">
        <f aca="false">IF(OR(J332="",J332=0),"",_xlfn.MINIFS($E$2:$E$500,$B$2:$B$500,B332,$C$2:$C$500,C332,$F$2:$F$500,F332,$H$2:$H$500,"Trade estimate"))</f>
        <v/>
      </c>
      <c r="M332" s="12" t="str">
        <f aca="false">IF(OR(J332="",J332&lt;2),"",IF(L332=0,"",(K332-L332)/L332))</f>
        <v/>
      </c>
      <c r="N332" s="13" t="str">
        <f aca="false">IF(B332="","",IF(J332&lt;2,"Needs 2+ trade sources",IF(M332&gt;Lists!$E$2,"CHECK","OK")))</f>
        <v/>
      </c>
      <c r="O332" s="9" t="str">
        <f aca="false">IF(B332="","",IF(J332&lt;2,"Needs 2+ trade sources",IF(M332&lt;=Lists!$E$6,"Good",IF(M332&lt;=Lists!$E$2,"Moderate","Bad"))))</f>
        <v/>
      </c>
    </row>
    <row r="333" customFormat="false" ht="14.25" hidden="false" customHeight="true" outlineLevel="0" collapsed="false">
      <c r="A333" s="6"/>
      <c r="B333" s="7"/>
      <c r="C333" s="8"/>
      <c r="D333" s="9" t="str">
        <f aca="false">IF(OR(B333="",C333=""),"",IFERROR(C333-INDEX(Films!$C$2:$C$100,MATCH(B333,Films!$A$2:$A$100,0))+1,""))</f>
        <v/>
      </c>
      <c r="E333" s="10"/>
      <c r="F333" s="7"/>
      <c r="G333" s="7"/>
      <c r="H333" s="7"/>
      <c r="I333" s="7"/>
      <c r="J333" s="9" t="str">
        <f aca="false">IF(B333="","",COUNTIFS($B$2:$B$500,B333,$C$2:$C$500,C333,$F$2:$F$500,F333,$H$2:$H$500,"Trade estimate"))</f>
        <v/>
      </c>
      <c r="K333" s="11" t="str">
        <f aca="false">IF(OR(J333="",J333=0),"",_xlfn.MAXIFS($E$2:$E$500,$B$2:$B$500,B333,$C$2:$C$500,C333,$F$2:$F$500,F333,$H$2:$H$500,"Trade estimate"))</f>
        <v/>
      </c>
      <c r="L333" s="11" t="str">
        <f aca="false">IF(OR(J333="",J333=0),"",_xlfn.MINIFS($E$2:$E$500,$B$2:$B$500,B333,$C$2:$C$500,C333,$F$2:$F$500,F333,$H$2:$H$500,"Trade estimate"))</f>
        <v/>
      </c>
      <c r="M333" s="12" t="str">
        <f aca="false">IF(OR(J333="",J333&lt;2),"",IF(L333=0,"",(K333-L333)/L333))</f>
        <v/>
      </c>
      <c r="N333" s="13" t="str">
        <f aca="false">IF(B333="","",IF(J333&lt;2,"Needs 2+ trade sources",IF(M333&gt;Lists!$E$2,"CHECK","OK")))</f>
        <v/>
      </c>
      <c r="O333" s="9" t="str">
        <f aca="false">IF(B333="","",IF(J333&lt;2,"Needs 2+ trade sources",IF(M333&lt;=Lists!$E$6,"Good",IF(M333&lt;=Lists!$E$2,"Moderate","Bad"))))</f>
        <v/>
      </c>
    </row>
    <row r="334" customFormat="false" ht="14.25" hidden="false" customHeight="true" outlineLevel="0" collapsed="false">
      <c r="A334" s="6"/>
      <c r="B334" s="7"/>
      <c r="C334" s="8"/>
      <c r="D334" s="9" t="str">
        <f aca="false">IF(OR(B334="",C334=""),"",IFERROR(C334-INDEX(Films!$C$2:$C$100,MATCH(B334,Films!$A$2:$A$100,0))+1,""))</f>
        <v/>
      </c>
      <c r="E334" s="10"/>
      <c r="F334" s="7"/>
      <c r="G334" s="7"/>
      <c r="H334" s="7"/>
      <c r="I334" s="7"/>
      <c r="J334" s="9" t="str">
        <f aca="false">IF(B334="","",COUNTIFS($B$2:$B$500,B334,$C$2:$C$500,C334,$F$2:$F$500,F334,$H$2:$H$500,"Trade estimate"))</f>
        <v/>
      </c>
      <c r="K334" s="11" t="str">
        <f aca="false">IF(OR(J334="",J334=0),"",_xlfn.MAXIFS($E$2:$E$500,$B$2:$B$500,B334,$C$2:$C$500,C334,$F$2:$F$500,F334,$H$2:$H$500,"Trade estimate"))</f>
        <v/>
      </c>
      <c r="L334" s="11" t="str">
        <f aca="false">IF(OR(J334="",J334=0),"",_xlfn.MINIFS($E$2:$E$500,$B$2:$B$500,B334,$C$2:$C$500,C334,$F$2:$F$500,F334,$H$2:$H$500,"Trade estimate"))</f>
        <v/>
      </c>
      <c r="M334" s="12" t="str">
        <f aca="false">IF(OR(J334="",J334&lt;2),"",IF(L334=0,"",(K334-L334)/L334))</f>
        <v/>
      </c>
      <c r="N334" s="13" t="str">
        <f aca="false">IF(B334="","",IF(J334&lt;2,"Needs 2+ trade sources",IF(M334&gt;Lists!$E$2,"CHECK","OK")))</f>
        <v/>
      </c>
      <c r="O334" s="9" t="str">
        <f aca="false">IF(B334="","",IF(J334&lt;2,"Needs 2+ trade sources",IF(M334&lt;=Lists!$E$6,"Good",IF(M334&lt;=Lists!$E$2,"Moderate","Bad"))))</f>
        <v/>
      </c>
    </row>
    <row r="335" customFormat="false" ht="14.25" hidden="false" customHeight="true" outlineLevel="0" collapsed="false">
      <c r="A335" s="6"/>
      <c r="B335" s="7"/>
      <c r="C335" s="8"/>
      <c r="D335" s="9" t="str">
        <f aca="false">IF(OR(B335="",C335=""),"",IFERROR(C335-INDEX(Films!$C$2:$C$100,MATCH(B335,Films!$A$2:$A$100,0))+1,""))</f>
        <v/>
      </c>
      <c r="E335" s="10"/>
      <c r="F335" s="7"/>
      <c r="G335" s="7"/>
      <c r="H335" s="7"/>
      <c r="I335" s="7"/>
      <c r="J335" s="9" t="str">
        <f aca="false">IF(B335="","",COUNTIFS($B$2:$B$500,B335,$C$2:$C$500,C335,$F$2:$F$500,F335,$H$2:$H$500,"Trade estimate"))</f>
        <v/>
      </c>
      <c r="K335" s="11" t="str">
        <f aca="false">IF(OR(J335="",J335=0),"",_xlfn.MAXIFS($E$2:$E$500,$B$2:$B$500,B335,$C$2:$C$500,C335,$F$2:$F$500,F335,$H$2:$H$500,"Trade estimate"))</f>
        <v/>
      </c>
      <c r="L335" s="11" t="str">
        <f aca="false">IF(OR(J335="",J335=0),"",_xlfn.MINIFS($E$2:$E$500,$B$2:$B$500,B335,$C$2:$C$500,C335,$F$2:$F$500,F335,$H$2:$H$500,"Trade estimate"))</f>
        <v/>
      </c>
      <c r="M335" s="12" t="str">
        <f aca="false">IF(OR(J335="",J335&lt;2),"",IF(L335=0,"",(K335-L335)/L335))</f>
        <v/>
      </c>
      <c r="N335" s="13" t="str">
        <f aca="false">IF(B335="","",IF(J335&lt;2,"Needs 2+ trade sources",IF(M335&gt;Lists!$E$2,"CHECK","OK")))</f>
        <v/>
      </c>
      <c r="O335" s="9" t="str">
        <f aca="false">IF(B335="","",IF(J335&lt;2,"Needs 2+ trade sources",IF(M335&lt;=Lists!$E$6,"Good",IF(M335&lt;=Lists!$E$2,"Moderate","Bad"))))</f>
        <v/>
      </c>
    </row>
    <row r="336" customFormat="false" ht="14.25" hidden="false" customHeight="true" outlineLevel="0" collapsed="false">
      <c r="A336" s="6"/>
      <c r="B336" s="7"/>
      <c r="C336" s="8"/>
      <c r="D336" s="9" t="str">
        <f aca="false">IF(OR(B336="",C336=""),"",IFERROR(C336-INDEX(Films!$C$2:$C$100,MATCH(B336,Films!$A$2:$A$100,0))+1,""))</f>
        <v/>
      </c>
      <c r="E336" s="10"/>
      <c r="F336" s="7"/>
      <c r="G336" s="7"/>
      <c r="H336" s="7"/>
      <c r="I336" s="7"/>
      <c r="J336" s="9" t="str">
        <f aca="false">IF(B336="","",COUNTIFS($B$2:$B$500,B336,$C$2:$C$500,C336,$F$2:$F$500,F336,$H$2:$H$500,"Trade estimate"))</f>
        <v/>
      </c>
      <c r="K336" s="11" t="str">
        <f aca="false">IF(OR(J336="",J336=0),"",_xlfn.MAXIFS($E$2:$E$500,$B$2:$B$500,B336,$C$2:$C$500,C336,$F$2:$F$500,F336,$H$2:$H$500,"Trade estimate"))</f>
        <v/>
      </c>
      <c r="L336" s="11" t="str">
        <f aca="false">IF(OR(J336="",J336=0),"",_xlfn.MINIFS($E$2:$E$500,$B$2:$B$500,B336,$C$2:$C$500,C336,$F$2:$F$500,F336,$H$2:$H$500,"Trade estimate"))</f>
        <v/>
      </c>
      <c r="M336" s="12" t="str">
        <f aca="false">IF(OR(J336="",J336&lt;2),"",IF(L336=0,"",(K336-L336)/L336))</f>
        <v/>
      </c>
      <c r="N336" s="13" t="str">
        <f aca="false">IF(B336="","",IF(J336&lt;2,"Needs 2+ trade sources",IF(M336&gt;Lists!$E$2,"CHECK","OK")))</f>
        <v/>
      </c>
      <c r="O336" s="9" t="str">
        <f aca="false">IF(B336="","",IF(J336&lt;2,"Needs 2+ trade sources",IF(M336&lt;=Lists!$E$6,"Good",IF(M336&lt;=Lists!$E$2,"Moderate","Bad"))))</f>
        <v/>
      </c>
    </row>
    <row r="337" customFormat="false" ht="14.25" hidden="false" customHeight="true" outlineLevel="0" collapsed="false">
      <c r="A337" s="6"/>
      <c r="B337" s="7"/>
      <c r="C337" s="8"/>
      <c r="D337" s="9" t="str">
        <f aca="false">IF(OR(B337="",C337=""),"",IFERROR(C337-INDEX(Films!$C$2:$C$100,MATCH(B337,Films!$A$2:$A$100,0))+1,""))</f>
        <v/>
      </c>
      <c r="E337" s="10"/>
      <c r="F337" s="7"/>
      <c r="G337" s="7"/>
      <c r="H337" s="7"/>
      <c r="I337" s="7"/>
      <c r="J337" s="9" t="str">
        <f aca="false">IF(B337="","",COUNTIFS($B$2:$B$500,B337,$C$2:$C$500,C337,$F$2:$F$500,F337,$H$2:$H$500,"Trade estimate"))</f>
        <v/>
      </c>
      <c r="K337" s="11" t="str">
        <f aca="false">IF(OR(J337="",J337=0),"",_xlfn.MAXIFS($E$2:$E$500,$B$2:$B$500,B337,$C$2:$C$500,C337,$F$2:$F$500,F337,$H$2:$H$500,"Trade estimate"))</f>
        <v/>
      </c>
      <c r="L337" s="11" t="str">
        <f aca="false">IF(OR(J337="",J337=0),"",_xlfn.MINIFS($E$2:$E$500,$B$2:$B$500,B337,$C$2:$C$500,C337,$F$2:$F$500,F337,$H$2:$H$500,"Trade estimate"))</f>
        <v/>
      </c>
      <c r="M337" s="12" t="str">
        <f aca="false">IF(OR(J337="",J337&lt;2),"",IF(L337=0,"",(K337-L337)/L337))</f>
        <v/>
      </c>
      <c r="N337" s="13" t="str">
        <f aca="false">IF(B337="","",IF(J337&lt;2,"Needs 2+ trade sources",IF(M337&gt;Lists!$E$2,"CHECK","OK")))</f>
        <v/>
      </c>
      <c r="O337" s="9" t="str">
        <f aca="false">IF(B337="","",IF(J337&lt;2,"Needs 2+ trade sources",IF(M337&lt;=Lists!$E$6,"Good",IF(M337&lt;=Lists!$E$2,"Moderate","Bad"))))</f>
        <v/>
      </c>
    </row>
    <row r="338" customFormat="false" ht="14.25" hidden="false" customHeight="true" outlineLevel="0" collapsed="false">
      <c r="A338" s="6"/>
      <c r="B338" s="7"/>
      <c r="C338" s="8"/>
      <c r="D338" s="9" t="str">
        <f aca="false">IF(OR(B338="",C338=""),"",IFERROR(C338-INDEX(Films!$C$2:$C$100,MATCH(B338,Films!$A$2:$A$100,0))+1,""))</f>
        <v/>
      </c>
      <c r="E338" s="10"/>
      <c r="F338" s="7"/>
      <c r="G338" s="7"/>
      <c r="H338" s="7"/>
      <c r="I338" s="7"/>
      <c r="J338" s="9" t="str">
        <f aca="false">IF(B338="","",COUNTIFS($B$2:$B$500,B338,$C$2:$C$500,C338,$F$2:$F$500,F338,$H$2:$H$500,"Trade estimate"))</f>
        <v/>
      </c>
      <c r="K338" s="11" t="str">
        <f aca="false">IF(OR(J338="",J338=0),"",_xlfn.MAXIFS($E$2:$E$500,$B$2:$B$500,B338,$C$2:$C$500,C338,$F$2:$F$500,F338,$H$2:$H$500,"Trade estimate"))</f>
        <v/>
      </c>
      <c r="L338" s="11" t="str">
        <f aca="false">IF(OR(J338="",J338=0),"",_xlfn.MINIFS($E$2:$E$500,$B$2:$B$500,B338,$C$2:$C$500,C338,$F$2:$F$500,F338,$H$2:$H$500,"Trade estimate"))</f>
        <v/>
      </c>
      <c r="M338" s="12" t="str">
        <f aca="false">IF(OR(J338="",J338&lt;2),"",IF(L338=0,"",(K338-L338)/L338))</f>
        <v/>
      </c>
      <c r="N338" s="13" t="str">
        <f aca="false">IF(B338="","",IF(J338&lt;2,"Needs 2+ trade sources",IF(M338&gt;Lists!$E$2,"CHECK","OK")))</f>
        <v/>
      </c>
      <c r="O338" s="9" t="str">
        <f aca="false">IF(B338="","",IF(J338&lt;2,"Needs 2+ trade sources",IF(M338&lt;=Lists!$E$6,"Good",IF(M338&lt;=Lists!$E$2,"Moderate","Bad"))))</f>
        <v/>
      </c>
    </row>
    <row r="339" customFormat="false" ht="14.25" hidden="false" customHeight="true" outlineLevel="0" collapsed="false">
      <c r="A339" s="6"/>
      <c r="B339" s="7"/>
      <c r="C339" s="8"/>
      <c r="D339" s="9" t="str">
        <f aca="false">IF(OR(B339="",C339=""),"",IFERROR(C339-INDEX(Films!$C$2:$C$100,MATCH(B339,Films!$A$2:$A$100,0))+1,""))</f>
        <v/>
      </c>
      <c r="E339" s="10"/>
      <c r="F339" s="7"/>
      <c r="G339" s="7"/>
      <c r="H339" s="7"/>
      <c r="I339" s="7"/>
      <c r="J339" s="9" t="str">
        <f aca="false">IF(B339="","",COUNTIFS($B$2:$B$500,B339,$C$2:$C$500,C339,$F$2:$F$500,F339,$H$2:$H$500,"Trade estimate"))</f>
        <v/>
      </c>
      <c r="K339" s="11" t="str">
        <f aca="false">IF(OR(J339="",J339=0),"",_xlfn.MAXIFS($E$2:$E$500,$B$2:$B$500,B339,$C$2:$C$500,C339,$F$2:$F$500,F339,$H$2:$H$500,"Trade estimate"))</f>
        <v/>
      </c>
      <c r="L339" s="11" t="str">
        <f aca="false">IF(OR(J339="",J339=0),"",_xlfn.MINIFS($E$2:$E$500,$B$2:$B$500,B339,$C$2:$C$500,C339,$F$2:$F$500,F339,$H$2:$H$500,"Trade estimate"))</f>
        <v/>
      </c>
      <c r="M339" s="12" t="str">
        <f aca="false">IF(OR(J339="",J339&lt;2),"",IF(L339=0,"",(K339-L339)/L339))</f>
        <v/>
      </c>
      <c r="N339" s="13" t="str">
        <f aca="false">IF(B339="","",IF(J339&lt;2,"Needs 2+ trade sources",IF(M339&gt;Lists!$E$2,"CHECK","OK")))</f>
        <v/>
      </c>
      <c r="O339" s="9" t="str">
        <f aca="false">IF(B339="","",IF(J339&lt;2,"Needs 2+ trade sources",IF(M339&lt;=Lists!$E$6,"Good",IF(M339&lt;=Lists!$E$2,"Moderate","Bad"))))</f>
        <v/>
      </c>
    </row>
    <row r="340" customFormat="false" ht="14.25" hidden="false" customHeight="true" outlineLevel="0" collapsed="false">
      <c r="A340" s="6"/>
      <c r="B340" s="7"/>
      <c r="C340" s="8"/>
      <c r="D340" s="9" t="str">
        <f aca="false">IF(OR(B340="",C340=""),"",IFERROR(C340-INDEX(Films!$C$2:$C$100,MATCH(B340,Films!$A$2:$A$100,0))+1,""))</f>
        <v/>
      </c>
      <c r="E340" s="10"/>
      <c r="F340" s="7"/>
      <c r="G340" s="7"/>
      <c r="H340" s="7"/>
      <c r="I340" s="7"/>
      <c r="J340" s="9" t="str">
        <f aca="false">IF(B340="","",COUNTIFS($B$2:$B$500,B340,$C$2:$C$500,C340,$F$2:$F$500,F340,$H$2:$H$500,"Trade estimate"))</f>
        <v/>
      </c>
      <c r="K340" s="11" t="str">
        <f aca="false">IF(OR(J340="",J340=0),"",_xlfn.MAXIFS($E$2:$E$500,$B$2:$B$500,B340,$C$2:$C$500,C340,$F$2:$F$500,F340,$H$2:$H$500,"Trade estimate"))</f>
        <v/>
      </c>
      <c r="L340" s="11" t="str">
        <f aca="false">IF(OR(J340="",J340=0),"",_xlfn.MINIFS($E$2:$E$500,$B$2:$B$500,B340,$C$2:$C$500,C340,$F$2:$F$500,F340,$H$2:$H$500,"Trade estimate"))</f>
        <v/>
      </c>
      <c r="M340" s="12" t="str">
        <f aca="false">IF(OR(J340="",J340&lt;2),"",IF(L340=0,"",(K340-L340)/L340))</f>
        <v/>
      </c>
      <c r="N340" s="13" t="str">
        <f aca="false">IF(B340="","",IF(J340&lt;2,"Needs 2+ trade sources",IF(M340&gt;Lists!$E$2,"CHECK","OK")))</f>
        <v/>
      </c>
      <c r="O340" s="9" t="str">
        <f aca="false">IF(B340="","",IF(J340&lt;2,"Needs 2+ trade sources",IF(M340&lt;=Lists!$E$6,"Good",IF(M340&lt;=Lists!$E$2,"Moderate","Bad"))))</f>
        <v/>
      </c>
    </row>
    <row r="341" customFormat="false" ht="14.25" hidden="false" customHeight="true" outlineLevel="0" collapsed="false">
      <c r="A341" s="6"/>
      <c r="B341" s="7"/>
      <c r="C341" s="8"/>
      <c r="D341" s="9" t="str">
        <f aca="false">IF(OR(B341="",C341=""),"",IFERROR(C341-INDEX(Films!$C$2:$C$100,MATCH(B341,Films!$A$2:$A$100,0))+1,""))</f>
        <v/>
      </c>
      <c r="E341" s="10"/>
      <c r="F341" s="7"/>
      <c r="G341" s="7"/>
      <c r="H341" s="7"/>
      <c r="I341" s="7"/>
      <c r="J341" s="9" t="str">
        <f aca="false">IF(B341="","",COUNTIFS($B$2:$B$500,B341,$C$2:$C$500,C341,$F$2:$F$500,F341,$H$2:$H$500,"Trade estimate"))</f>
        <v/>
      </c>
      <c r="K341" s="11" t="str">
        <f aca="false">IF(OR(J341="",J341=0),"",_xlfn.MAXIFS($E$2:$E$500,$B$2:$B$500,B341,$C$2:$C$500,C341,$F$2:$F$500,F341,$H$2:$H$500,"Trade estimate"))</f>
        <v/>
      </c>
      <c r="L341" s="11" t="str">
        <f aca="false">IF(OR(J341="",J341=0),"",_xlfn.MINIFS($E$2:$E$500,$B$2:$B$500,B341,$C$2:$C$500,C341,$F$2:$F$500,F341,$H$2:$H$500,"Trade estimate"))</f>
        <v/>
      </c>
      <c r="M341" s="12" t="str">
        <f aca="false">IF(OR(J341="",J341&lt;2),"",IF(L341=0,"",(K341-L341)/L341))</f>
        <v/>
      </c>
      <c r="N341" s="13" t="str">
        <f aca="false">IF(B341="","",IF(J341&lt;2,"Needs 2+ trade sources",IF(M341&gt;Lists!$E$2,"CHECK","OK")))</f>
        <v/>
      </c>
      <c r="O341" s="9" t="str">
        <f aca="false">IF(B341="","",IF(J341&lt;2,"Needs 2+ trade sources",IF(M341&lt;=Lists!$E$6,"Good",IF(M341&lt;=Lists!$E$2,"Moderate","Bad"))))</f>
        <v/>
      </c>
    </row>
    <row r="342" customFormat="false" ht="14.25" hidden="false" customHeight="true" outlineLevel="0" collapsed="false">
      <c r="A342" s="6"/>
      <c r="B342" s="7"/>
      <c r="C342" s="8"/>
      <c r="D342" s="9" t="str">
        <f aca="false">IF(OR(B342="",C342=""),"",IFERROR(C342-INDEX(Films!$C$2:$C$100,MATCH(B342,Films!$A$2:$A$100,0))+1,""))</f>
        <v/>
      </c>
      <c r="E342" s="10"/>
      <c r="F342" s="7"/>
      <c r="G342" s="7"/>
      <c r="H342" s="7"/>
      <c r="I342" s="7"/>
      <c r="J342" s="9" t="str">
        <f aca="false">IF(B342="","",COUNTIFS($B$2:$B$500,B342,$C$2:$C$500,C342,$F$2:$F$500,F342,$H$2:$H$500,"Trade estimate"))</f>
        <v/>
      </c>
      <c r="K342" s="11" t="str">
        <f aca="false">IF(OR(J342="",J342=0),"",_xlfn.MAXIFS($E$2:$E$500,$B$2:$B$500,B342,$C$2:$C$500,C342,$F$2:$F$500,F342,$H$2:$H$500,"Trade estimate"))</f>
        <v/>
      </c>
      <c r="L342" s="11" t="str">
        <f aca="false">IF(OR(J342="",J342=0),"",_xlfn.MINIFS($E$2:$E$500,$B$2:$B$500,B342,$C$2:$C$500,C342,$F$2:$F$500,F342,$H$2:$H$500,"Trade estimate"))</f>
        <v/>
      </c>
      <c r="M342" s="12" t="str">
        <f aca="false">IF(OR(J342="",J342&lt;2),"",IF(L342=0,"",(K342-L342)/L342))</f>
        <v/>
      </c>
      <c r="N342" s="13" t="str">
        <f aca="false">IF(B342="","",IF(J342&lt;2,"Needs 2+ trade sources",IF(M342&gt;Lists!$E$2,"CHECK","OK")))</f>
        <v/>
      </c>
      <c r="O342" s="9" t="str">
        <f aca="false">IF(B342="","",IF(J342&lt;2,"Needs 2+ trade sources",IF(M342&lt;=Lists!$E$6,"Good",IF(M342&lt;=Lists!$E$2,"Moderate","Bad"))))</f>
        <v/>
      </c>
    </row>
    <row r="343" customFormat="false" ht="14.25" hidden="false" customHeight="true" outlineLevel="0" collapsed="false">
      <c r="A343" s="6"/>
      <c r="B343" s="7"/>
      <c r="C343" s="8"/>
      <c r="D343" s="9" t="str">
        <f aca="false">IF(OR(B343="",C343=""),"",IFERROR(C343-INDEX(Films!$C$2:$C$100,MATCH(B343,Films!$A$2:$A$100,0))+1,""))</f>
        <v/>
      </c>
      <c r="E343" s="10"/>
      <c r="F343" s="7"/>
      <c r="G343" s="7"/>
      <c r="H343" s="7"/>
      <c r="I343" s="7"/>
      <c r="J343" s="9" t="str">
        <f aca="false">IF(B343="","",COUNTIFS($B$2:$B$500,B343,$C$2:$C$500,C343,$F$2:$F$500,F343,$H$2:$H$500,"Trade estimate"))</f>
        <v/>
      </c>
      <c r="K343" s="11" t="str">
        <f aca="false">IF(OR(J343="",J343=0),"",_xlfn.MAXIFS($E$2:$E$500,$B$2:$B$500,B343,$C$2:$C$500,C343,$F$2:$F$500,F343,$H$2:$H$500,"Trade estimate"))</f>
        <v/>
      </c>
      <c r="L343" s="11" t="str">
        <f aca="false">IF(OR(J343="",J343=0),"",_xlfn.MINIFS($E$2:$E$500,$B$2:$B$500,B343,$C$2:$C$500,C343,$F$2:$F$500,F343,$H$2:$H$500,"Trade estimate"))</f>
        <v/>
      </c>
      <c r="M343" s="12" t="str">
        <f aca="false">IF(OR(J343="",J343&lt;2),"",IF(L343=0,"",(K343-L343)/L343))</f>
        <v/>
      </c>
      <c r="N343" s="13" t="str">
        <f aca="false">IF(B343="","",IF(J343&lt;2,"Needs 2+ trade sources",IF(M343&gt;Lists!$E$2,"CHECK","OK")))</f>
        <v/>
      </c>
      <c r="O343" s="9" t="str">
        <f aca="false">IF(B343="","",IF(J343&lt;2,"Needs 2+ trade sources",IF(M343&lt;=Lists!$E$6,"Good",IF(M343&lt;=Lists!$E$2,"Moderate","Bad"))))</f>
        <v/>
      </c>
    </row>
    <row r="344" customFormat="false" ht="14.25" hidden="false" customHeight="true" outlineLevel="0" collapsed="false">
      <c r="A344" s="6"/>
      <c r="B344" s="7"/>
      <c r="C344" s="8"/>
      <c r="D344" s="9" t="str">
        <f aca="false">IF(OR(B344="",C344=""),"",IFERROR(C344-INDEX(Films!$C$2:$C$100,MATCH(B344,Films!$A$2:$A$100,0))+1,""))</f>
        <v/>
      </c>
      <c r="E344" s="10"/>
      <c r="F344" s="7"/>
      <c r="G344" s="7"/>
      <c r="H344" s="7"/>
      <c r="I344" s="7"/>
      <c r="J344" s="9" t="str">
        <f aca="false">IF(B344="","",COUNTIFS($B$2:$B$500,B344,$C$2:$C$500,C344,$F$2:$F$500,F344,$H$2:$H$500,"Trade estimate"))</f>
        <v/>
      </c>
      <c r="K344" s="11" t="str">
        <f aca="false">IF(OR(J344="",J344=0),"",_xlfn.MAXIFS($E$2:$E$500,$B$2:$B$500,B344,$C$2:$C$500,C344,$F$2:$F$500,F344,$H$2:$H$500,"Trade estimate"))</f>
        <v/>
      </c>
      <c r="L344" s="11" t="str">
        <f aca="false">IF(OR(J344="",J344=0),"",_xlfn.MINIFS($E$2:$E$500,$B$2:$B$500,B344,$C$2:$C$500,C344,$F$2:$F$500,F344,$H$2:$H$500,"Trade estimate"))</f>
        <v/>
      </c>
      <c r="M344" s="12" t="str">
        <f aca="false">IF(OR(J344="",J344&lt;2),"",IF(L344=0,"",(K344-L344)/L344))</f>
        <v/>
      </c>
      <c r="N344" s="13" t="str">
        <f aca="false">IF(B344="","",IF(J344&lt;2,"Needs 2+ trade sources",IF(M344&gt;Lists!$E$2,"CHECK","OK")))</f>
        <v/>
      </c>
      <c r="O344" s="9" t="str">
        <f aca="false">IF(B344="","",IF(J344&lt;2,"Needs 2+ trade sources",IF(M344&lt;=Lists!$E$6,"Good",IF(M344&lt;=Lists!$E$2,"Moderate","Bad"))))</f>
        <v/>
      </c>
    </row>
    <row r="345" customFormat="false" ht="14.25" hidden="false" customHeight="true" outlineLevel="0" collapsed="false">
      <c r="A345" s="6"/>
      <c r="B345" s="7"/>
      <c r="C345" s="8"/>
      <c r="D345" s="9" t="str">
        <f aca="false">IF(OR(B345="",C345=""),"",IFERROR(C345-INDEX(Films!$C$2:$C$100,MATCH(B345,Films!$A$2:$A$100,0))+1,""))</f>
        <v/>
      </c>
      <c r="E345" s="10"/>
      <c r="F345" s="7"/>
      <c r="G345" s="7"/>
      <c r="H345" s="7"/>
      <c r="I345" s="7"/>
      <c r="J345" s="9" t="str">
        <f aca="false">IF(B345="","",COUNTIFS($B$2:$B$500,B345,$C$2:$C$500,C345,$F$2:$F$500,F345,$H$2:$H$500,"Trade estimate"))</f>
        <v/>
      </c>
      <c r="K345" s="11" t="str">
        <f aca="false">IF(OR(J345="",J345=0),"",_xlfn.MAXIFS($E$2:$E$500,$B$2:$B$500,B345,$C$2:$C$500,C345,$F$2:$F$500,F345,$H$2:$H$500,"Trade estimate"))</f>
        <v/>
      </c>
      <c r="L345" s="11" t="str">
        <f aca="false">IF(OR(J345="",J345=0),"",_xlfn.MINIFS($E$2:$E$500,$B$2:$B$500,B345,$C$2:$C$500,C345,$F$2:$F$500,F345,$H$2:$H$500,"Trade estimate"))</f>
        <v/>
      </c>
      <c r="M345" s="12" t="str">
        <f aca="false">IF(OR(J345="",J345&lt;2),"",IF(L345=0,"",(K345-L345)/L345))</f>
        <v/>
      </c>
      <c r="N345" s="13" t="str">
        <f aca="false">IF(B345="","",IF(J345&lt;2,"Needs 2+ trade sources",IF(M345&gt;Lists!$E$2,"CHECK","OK")))</f>
        <v/>
      </c>
      <c r="O345" s="9" t="str">
        <f aca="false">IF(B345="","",IF(J345&lt;2,"Needs 2+ trade sources",IF(M345&lt;=Lists!$E$6,"Good",IF(M345&lt;=Lists!$E$2,"Moderate","Bad"))))</f>
        <v/>
      </c>
    </row>
    <row r="346" customFormat="false" ht="14.25" hidden="false" customHeight="true" outlineLevel="0" collapsed="false">
      <c r="A346" s="6"/>
      <c r="B346" s="7"/>
      <c r="C346" s="8"/>
      <c r="D346" s="9" t="str">
        <f aca="false">IF(OR(B346="",C346=""),"",IFERROR(C346-INDEX(Films!$C$2:$C$100,MATCH(B346,Films!$A$2:$A$100,0))+1,""))</f>
        <v/>
      </c>
      <c r="E346" s="10"/>
      <c r="F346" s="7"/>
      <c r="G346" s="7"/>
      <c r="H346" s="7"/>
      <c r="I346" s="7"/>
      <c r="J346" s="9" t="str">
        <f aca="false">IF(B346="","",COUNTIFS($B$2:$B$500,B346,$C$2:$C$500,C346,$F$2:$F$500,F346,$H$2:$H$500,"Trade estimate"))</f>
        <v/>
      </c>
      <c r="K346" s="11" t="str">
        <f aca="false">IF(OR(J346="",J346=0),"",_xlfn.MAXIFS($E$2:$E$500,$B$2:$B$500,B346,$C$2:$C$500,C346,$F$2:$F$500,F346,$H$2:$H$500,"Trade estimate"))</f>
        <v/>
      </c>
      <c r="L346" s="11" t="str">
        <f aca="false">IF(OR(J346="",J346=0),"",_xlfn.MINIFS($E$2:$E$500,$B$2:$B$500,B346,$C$2:$C$500,C346,$F$2:$F$500,F346,$H$2:$H$500,"Trade estimate"))</f>
        <v/>
      </c>
      <c r="M346" s="12" t="str">
        <f aca="false">IF(OR(J346="",J346&lt;2),"",IF(L346=0,"",(K346-L346)/L346))</f>
        <v/>
      </c>
      <c r="N346" s="13" t="str">
        <f aca="false">IF(B346="","",IF(J346&lt;2,"Needs 2+ trade sources",IF(M346&gt;Lists!$E$2,"CHECK","OK")))</f>
        <v/>
      </c>
      <c r="O346" s="9" t="str">
        <f aca="false">IF(B346="","",IF(J346&lt;2,"Needs 2+ trade sources",IF(M346&lt;=Lists!$E$6,"Good",IF(M346&lt;=Lists!$E$2,"Moderate","Bad"))))</f>
        <v/>
      </c>
    </row>
    <row r="347" customFormat="false" ht="14.25" hidden="false" customHeight="true" outlineLevel="0" collapsed="false">
      <c r="A347" s="6"/>
      <c r="B347" s="7"/>
      <c r="C347" s="8"/>
      <c r="D347" s="9" t="str">
        <f aca="false">IF(OR(B347="",C347=""),"",IFERROR(C347-INDEX(Films!$C$2:$C$100,MATCH(B347,Films!$A$2:$A$100,0))+1,""))</f>
        <v/>
      </c>
      <c r="E347" s="10"/>
      <c r="F347" s="7"/>
      <c r="G347" s="7"/>
      <c r="H347" s="7"/>
      <c r="I347" s="7"/>
      <c r="J347" s="9" t="str">
        <f aca="false">IF(B347="","",COUNTIFS($B$2:$B$500,B347,$C$2:$C$500,C347,$F$2:$F$500,F347,$H$2:$H$500,"Trade estimate"))</f>
        <v/>
      </c>
      <c r="K347" s="11" t="str">
        <f aca="false">IF(OR(J347="",J347=0),"",_xlfn.MAXIFS($E$2:$E$500,$B$2:$B$500,B347,$C$2:$C$500,C347,$F$2:$F$500,F347,$H$2:$H$500,"Trade estimate"))</f>
        <v/>
      </c>
      <c r="L347" s="11" t="str">
        <f aca="false">IF(OR(J347="",J347=0),"",_xlfn.MINIFS($E$2:$E$500,$B$2:$B$500,B347,$C$2:$C$500,C347,$F$2:$F$500,F347,$H$2:$H$500,"Trade estimate"))</f>
        <v/>
      </c>
      <c r="M347" s="12" t="str">
        <f aca="false">IF(OR(J347="",J347&lt;2),"",IF(L347=0,"",(K347-L347)/L347))</f>
        <v/>
      </c>
      <c r="N347" s="13" t="str">
        <f aca="false">IF(B347="","",IF(J347&lt;2,"Needs 2+ trade sources",IF(M347&gt;Lists!$E$2,"CHECK","OK")))</f>
        <v/>
      </c>
      <c r="O347" s="9" t="str">
        <f aca="false">IF(B347="","",IF(J347&lt;2,"Needs 2+ trade sources",IF(M347&lt;=Lists!$E$6,"Good",IF(M347&lt;=Lists!$E$2,"Moderate","Bad"))))</f>
        <v/>
      </c>
    </row>
    <row r="348" customFormat="false" ht="14.25" hidden="false" customHeight="true" outlineLevel="0" collapsed="false">
      <c r="A348" s="6"/>
      <c r="B348" s="7"/>
      <c r="C348" s="8"/>
      <c r="D348" s="9" t="str">
        <f aca="false">IF(OR(B348="",C348=""),"",IFERROR(C348-INDEX(Films!$C$2:$C$100,MATCH(B348,Films!$A$2:$A$100,0))+1,""))</f>
        <v/>
      </c>
      <c r="E348" s="10"/>
      <c r="F348" s="7"/>
      <c r="G348" s="7"/>
      <c r="H348" s="7"/>
      <c r="I348" s="7"/>
      <c r="J348" s="9" t="str">
        <f aca="false">IF(B348="","",COUNTIFS($B$2:$B$500,B348,$C$2:$C$500,C348,$F$2:$F$500,F348,$H$2:$H$500,"Trade estimate"))</f>
        <v/>
      </c>
      <c r="K348" s="11" t="str">
        <f aca="false">IF(OR(J348="",J348=0),"",_xlfn.MAXIFS($E$2:$E$500,$B$2:$B$500,B348,$C$2:$C$500,C348,$F$2:$F$500,F348,$H$2:$H$500,"Trade estimate"))</f>
        <v/>
      </c>
      <c r="L348" s="11" t="str">
        <f aca="false">IF(OR(J348="",J348=0),"",_xlfn.MINIFS($E$2:$E$500,$B$2:$B$500,B348,$C$2:$C$500,C348,$F$2:$F$500,F348,$H$2:$H$500,"Trade estimate"))</f>
        <v/>
      </c>
      <c r="M348" s="12" t="str">
        <f aca="false">IF(OR(J348="",J348&lt;2),"",IF(L348=0,"",(K348-L348)/L348))</f>
        <v/>
      </c>
      <c r="N348" s="13" t="str">
        <f aca="false">IF(B348="","",IF(J348&lt;2,"Needs 2+ trade sources",IF(M348&gt;Lists!$E$2,"CHECK","OK")))</f>
        <v/>
      </c>
      <c r="O348" s="9" t="str">
        <f aca="false">IF(B348="","",IF(J348&lt;2,"Needs 2+ trade sources",IF(M348&lt;=Lists!$E$6,"Good",IF(M348&lt;=Lists!$E$2,"Moderate","Bad"))))</f>
        <v/>
      </c>
    </row>
    <row r="349" customFormat="false" ht="14.25" hidden="false" customHeight="true" outlineLevel="0" collapsed="false">
      <c r="A349" s="6"/>
      <c r="B349" s="7"/>
      <c r="C349" s="8"/>
      <c r="D349" s="9" t="str">
        <f aca="false">IF(OR(B349="",C349=""),"",IFERROR(C349-INDEX(Films!$C$2:$C$100,MATCH(B349,Films!$A$2:$A$100,0))+1,""))</f>
        <v/>
      </c>
      <c r="E349" s="10"/>
      <c r="F349" s="7"/>
      <c r="G349" s="7"/>
      <c r="H349" s="7"/>
      <c r="I349" s="7"/>
      <c r="J349" s="9" t="str">
        <f aca="false">IF(B349="","",COUNTIFS($B$2:$B$500,B349,$C$2:$C$500,C349,$F$2:$F$500,F349,$H$2:$H$500,"Trade estimate"))</f>
        <v/>
      </c>
      <c r="K349" s="11" t="str">
        <f aca="false">IF(OR(J349="",J349=0),"",_xlfn.MAXIFS($E$2:$E$500,$B$2:$B$500,B349,$C$2:$C$500,C349,$F$2:$F$500,F349,$H$2:$H$500,"Trade estimate"))</f>
        <v/>
      </c>
      <c r="L349" s="11" t="str">
        <f aca="false">IF(OR(J349="",J349=0),"",_xlfn.MINIFS($E$2:$E$500,$B$2:$B$500,B349,$C$2:$C$500,C349,$F$2:$F$500,F349,$H$2:$H$500,"Trade estimate"))</f>
        <v/>
      </c>
      <c r="M349" s="12" t="str">
        <f aca="false">IF(OR(J349="",J349&lt;2),"",IF(L349=0,"",(K349-L349)/L349))</f>
        <v/>
      </c>
      <c r="N349" s="13" t="str">
        <f aca="false">IF(B349="","",IF(J349&lt;2,"Needs 2+ trade sources",IF(M349&gt;Lists!$E$2,"CHECK","OK")))</f>
        <v/>
      </c>
      <c r="O349" s="9" t="str">
        <f aca="false">IF(B349="","",IF(J349&lt;2,"Needs 2+ trade sources",IF(M349&lt;=Lists!$E$6,"Good",IF(M349&lt;=Lists!$E$2,"Moderate","Bad"))))</f>
        <v/>
      </c>
    </row>
    <row r="350" customFormat="false" ht="14.25" hidden="false" customHeight="true" outlineLevel="0" collapsed="false">
      <c r="A350" s="6"/>
      <c r="B350" s="7"/>
      <c r="C350" s="8"/>
      <c r="D350" s="9" t="str">
        <f aca="false">IF(OR(B350="",C350=""),"",IFERROR(C350-INDEX(Films!$C$2:$C$100,MATCH(B350,Films!$A$2:$A$100,0))+1,""))</f>
        <v/>
      </c>
      <c r="E350" s="10"/>
      <c r="F350" s="7"/>
      <c r="G350" s="7"/>
      <c r="H350" s="7"/>
      <c r="I350" s="7"/>
      <c r="J350" s="9" t="str">
        <f aca="false">IF(B350="","",COUNTIFS($B$2:$B$500,B350,$C$2:$C$500,C350,$F$2:$F$500,F350,$H$2:$H$500,"Trade estimate"))</f>
        <v/>
      </c>
      <c r="K350" s="11" t="str">
        <f aca="false">IF(OR(J350="",J350=0),"",_xlfn.MAXIFS($E$2:$E$500,$B$2:$B$500,B350,$C$2:$C$500,C350,$F$2:$F$500,F350,$H$2:$H$500,"Trade estimate"))</f>
        <v/>
      </c>
      <c r="L350" s="11" t="str">
        <f aca="false">IF(OR(J350="",J350=0),"",_xlfn.MINIFS($E$2:$E$500,$B$2:$B$500,B350,$C$2:$C$500,C350,$F$2:$F$500,F350,$H$2:$H$500,"Trade estimate"))</f>
        <v/>
      </c>
      <c r="M350" s="12" t="str">
        <f aca="false">IF(OR(J350="",J350&lt;2),"",IF(L350=0,"",(K350-L350)/L350))</f>
        <v/>
      </c>
      <c r="N350" s="13" t="str">
        <f aca="false">IF(B350="","",IF(J350&lt;2,"Needs 2+ trade sources",IF(M350&gt;Lists!$E$2,"CHECK","OK")))</f>
        <v/>
      </c>
      <c r="O350" s="9" t="str">
        <f aca="false">IF(B350="","",IF(J350&lt;2,"Needs 2+ trade sources",IF(M350&lt;=Lists!$E$6,"Good",IF(M350&lt;=Lists!$E$2,"Moderate","Bad"))))</f>
        <v/>
      </c>
    </row>
    <row r="351" customFormat="false" ht="14.25" hidden="false" customHeight="true" outlineLevel="0" collapsed="false">
      <c r="A351" s="6"/>
      <c r="B351" s="7"/>
      <c r="C351" s="8"/>
      <c r="D351" s="9" t="str">
        <f aca="false">IF(OR(B351="",C351=""),"",IFERROR(C351-INDEX(Films!$C$2:$C$100,MATCH(B351,Films!$A$2:$A$100,0))+1,""))</f>
        <v/>
      </c>
      <c r="E351" s="10"/>
      <c r="F351" s="7"/>
      <c r="G351" s="7"/>
      <c r="H351" s="7"/>
      <c r="I351" s="7"/>
      <c r="J351" s="9" t="str">
        <f aca="false">IF(B351="","",COUNTIFS($B$2:$B$500,B351,$C$2:$C$500,C351,$F$2:$F$500,F351,$H$2:$H$500,"Trade estimate"))</f>
        <v/>
      </c>
      <c r="K351" s="11" t="str">
        <f aca="false">IF(OR(J351="",J351=0),"",_xlfn.MAXIFS($E$2:$E$500,$B$2:$B$500,B351,$C$2:$C$500,C351,$F$2:$F$500,F351,$H$2:$H$500,"Trade estimate"))</f>
        <v/>
      </c>
      <c r="L351" s="11" t="str">
        <f aca="false">IF(OR(J351="",J351=0),"",_xlfn.MINIFS($E$2:$E$500,$B$2:$B$500,B351,$C$2:$C$500,C351,$F$2:$F$500,F351,$H$2:$H$500,"Trade estimate"))</f>
        <v/>
      </c>
      <c r="M351" s="12" t="str">
        <f aca="false">IF(OR(J351="",J351&lt;2),"",IF(L351=0,"",(K351-L351)/L351))</f>
        <v/>
      </c>
      <c r="N351" s="13" t="str">
        <f aca="false">IF(B351="","",IF(J351&lt;2,"Needs 2+ trade sources",IF(M351&gt;Lists!$E$2,"CHECK","OK")))</f>
        <v/>
      </c>
      <c r="O351" s="9" t="str">
        <f aca="false">IF(B351="","",IF(J351&lt;2,"Needs 2+ trade sources",IF(M351&lt;=Lists!$E$6,"Good",IF(M351&lt;=Lists!$E$2,"Moderate","Bad"))))</f>
        <v/>
      </c>
    </row>
    <row r="352" customFormat="false" ht="14.25" hidden="false" customHeight="true" outlineLevel="0" collapsed="false">
      <c r="A352" s="6"/>
      <c r="B352" s="7"/>
      <c r="C352" s="8"/>
      <c r="D352" s="9" t="str">
        <f aca="false">IF(OR(B352="",C352=""),"",IFERROR(C352-INDEX(Films!$C$2:$C$100,MATCH(B352,Films!$A$2:$A$100,0))+1,""))</f>
        <v/>
      </c>
      <c r="E352" s="10"/>
      <c r="F352" s="7"/>
      <c r="G352" s="7"/>
      <c r="H352" s="7"/>
      <c r="I352" s="7"/>
      <c r="J352" s="9" t="str">
        <f aca="false">IF(B352="","",COUNTIFS($B$2:$B$500,B352,$C$2:$C$500,C352,$F$2:$F$500,F352,$H$2:$H$500,"Trade estimate"))</f>
        <v/>
      </c>
      <c r="K352" s="11" t="str">
        <f aca="false">IF(OR(J352="",J352=0),"",_xlfn.MAXIFS($E$2:$E$500,$B$2:$B$500,B352,$C$2:$C$500,C352,$F$2:$F$500,F352,$H$2:$H$500,"Trade estimate"))</f>
        <v/>
      </c>
      <c r="L352" s="11" t="str">
        <f aca="false">IF(OR(J352="",J352=0),"",_xlfn.MINIFS($E$2:$E$500,$B$2:$B$500,B352,$C$2:$C$500,C352,$F$2:$F$500,F352,$H$2:$H$500,"Trade estimate"))</f>
        <v/>
      </c>
      <c r="M352" s="12" t="str">
        <f aca="false">IF(OR(J352="",J352&lt;2),"",IF(L352=0,"",(K352-L352)/L352))</f>
        <v/>
      </c>
      <c r="N352" s="13" t="str">
        <f aca="false">IF(B352="","",IF(J352&lt;2,"Needs 2+ trade sources",IF(M352&gt;Lists!$E$2,"CHECK","OK")))</f>
        <v/>
      </c>
      <c r="O352" s="9" t="str">
        <f aca="false">IF(B352="","",IF(J352&lt;2,"Needs 2+ trade sources",IF(M352&lt;=Lists!$E$6,"Good",IF(M352&lt;=Lists!$E$2,"Moderate","Bad"))))</f>
        <v/>
      </c>
    </row>
    <row r="353" customFormat="false" ht="14.25" hidden="false" customHeight="true" outlineLevel="0" collapsed="false">
      <c r="A353" s="6"/>
      <c r="B353" s="7"/>
      <c r="C353" s="8"/>
      <c r="D353" s="9" t="str">
        <f aca="false">IF(OR(B353="",C353=""),"",IFERROR(C353-INDEX(Films!$C$2:$C$100,MATCH(B353,Films!$A$2:$A$100,0))+1,""))</f>
        <v/>
      </c>
      <c r="E353" s="10"/>
      <c r="F353" s="7"/>
      <c r="G353" s="7"/>
      <c r="H353" s="7"/>
      <c r="I353" s="7"/>
      <c r="J353" s="9" t="str">
        <f aca="false">IF(B353="","",COUNTIFS($B$2:$B$500,B353,$C$2:$C$500,C353,$F$2:$F$500,F353,$H$2:$H$500,"Trade estimate"))</f>
        <v/>
      </c>
      <c r="K353" s="11" t="str">
        <f aca="false">IF(OR(J353="",J353=0),"",_xlfn.MAXIFS($E$2:$E$500,$B$2:$B$500,B353,$C$2:$C$500,C353,$F$2:$F$500,F353,$H$2:$H$500,"Trade estimate"))</f>
        <v/>
      </c>
      <c r="L353" s="11" t="str">
        <f aca="false">IF(OR(J353="",J353=0),"",_xlfn.MINIFS($E$2:$E$500,$B$2:$B$500,B353,$C$2:$C$500,C353,$F$2:$F$500,F353,$H$2:$H$500,"Trade estimate"))</f>
        <v/>
      </c>
      <c r="M353" s="12" t="str">
        <f aca="false">IF(OR(J353="",J353&lt;2),"",IF(L353=0,"",(K353-L353)/L353))</f>
        <v/>
      </c>
      <c r="N353" s="13" t="str">
        <f aca="false">IF(B353="","",IF(J353&lt;2,"Needs 2+ trade sources",IF(M353&gt;Lists!$E$2,"CHECK","OK")))</f>
        <v/>
      </c>
      <c r="O353" s="9" t="str">
        <f aca="false">IF(B353="","",IF(J353&lt;2,"Needs 2+ trade sources",IF(M353&lt;=Lists!$E$6,"Good",IF(M353&lt;=Lists!$E$2,"Moderate","Bad"))))</f>
        <v/>
      </c>
    </row>
    <row r="354" customFormat="false" ht="14.25" hidden="false" customHeight="true" outlineLevel="0" collapsed="false">
      <c r="A354" s="6"/>
      <c r="B354" s="7"/>
      <c r="C354" s="8"/>
      <c r="D354" s="9" t="str">
        <f aca="false">IF(OR(B354="",C354=""),"",IFERROR(C354-INDEX(Films!$C$2:$C$100,MATCH(B354,Films!$A$2:$A$100,0))+1,""))</f>
        <v/>
      </c>
      <c r="E354" s="10"/>
      <c r="F354" s="7"/>
      <c r="G354" s="7"/>
      <c r="H354" s="7"/>
      <c r="I354" s="7"/>
      <c r="J354" s="9" t="str">
        <f aca="false">IF(B354="","",COUNTIFS($B$2:$B$500,B354,$C$2:$C$500,C354,$F$2:$F$500,F354,$H$2:$H$500,"Trade estimate"))</f>
        <v/>
      </c>
      <c r="K354" s="11" t="str">
        <f aca="false">IF(OR(J354="",J354=0),"",_xlfn.MAXIFS($E$2:$E$500,$B$2:$B$500,B354,$C$2:$C$500,C354,$F$2:$F$500,F354,$H$2:$H$500,"Trade estimate"))</f>
        <v/>
      </c>
      <c r="L354" s="11" t="str">
        <f aca="false">IF(OR(J354="",J354=0),"",_xlfn.MINIFS($E$2:$E$500,$B$2:$B$500,B354,$C$2:$C$500,C354,$F$2:$F$500,F354,$H$2:$H$500,"Trade estimate"))</f>
        <v/>
      </c>
      <c r="M354" s="12" t="str">
        <f aca="false">IF(OR(J354="",J354&lt;2),"",IF(L354=0,"",(K354-L354)/L354))</f>
        <v/>
      </c>
      <c r="N354" s="13" t="str">
        <f aca="false">IF(B354="","",IF(J354&lt;2,"Needs 2+ trade sources",IF(M354&gt;Lists!$E$2,"CHECK","OK")))</f>
        <v/>
      </c>
      <c r="O354" s="9" t="str">
        <f aca="false">IF(B354="","",IF(J354&lt;2,"Needs 2+ trade sources",IF(M354&lt;=Lists!$E$6,"Good",IF(M354&lt;=Lists!$E$2,"Moderate","Bad"))))</f>
        <v/>
      </c>
    </row>
    <row r="355" customFormat="false" ht="14.25" hidden="false" customHeight="true" outlineLevel="0" collapsed="false">
      <c r="A355" s="6"/>
      <c r="B355" s="7"/>
      <c r="C355" s="8"/>
      <c r="D355" s="9" t="str">
        <f aca="false">IF(OR(B355="",C355=""),"",IFERROR(C355-INDEX(Films!$C$2:$C$100,MATCH(B355,Films!$A$2:$A$100,0))+1,""))</f>
        <v/>
      </c>
      <c r="E355" s="10"/>
      <c r="F355" s="7"/>
      <c r="G355" s="7"/>
      <c r="H355" s="7"/>
      <c r="I355" s="7"/>
      <c r="J355" s="9" t="str">
        <f aca="false">IF(B355="","",COUNTIFS($B$2:$B$500,B355,$C$2:$C$500,C355,$F$2:$F$500,F355,$H$2:$H$500,"Trade estimate"))</f>
        <v/>
      </c>
      <c r="K355" s="11" t="str">
        <f aca="false">IF(OR(J355="",J355=0),"",_xlfn.MAXIFS($E$2:$E$500,$B$2:$B$500,B355,$C$2:$C$500,C355,$F$2:$F$500,F355,$H$2:$H$500,"Trade estimate"))</f>
        <v/>
      </c>
      <c r="L355" s="11" t="str">
        <f aca="false">IF(OR(J355="",J355=0),"",_xlfn.MINIFS($E$2:$E$500,$B$2:$B$500,B355,$C$2:$C$500,C355,$F$2:$F$500,F355,$H$2:$H$500,"Trade estimate"))</f>
        <v/>
      </c>
      <c r="M355" s="12" t="str">
        <f aca="false">IF(OR(J355="",J355&lt;2),"",IF(L355=0,"",(K355-L355)/L355))</f>
        <v/>
      </c>
      <c r="N355" s="13" t="str">
        <f aca="false">IF(B355="","",IF(J355&lt;2,"Needs 2+ trade sources",IF(M355&gt;Lists!$E$2,"CHECK","OK")))</f>
        <v/>
      </c>
      <c r="O355" s="9" t="str">
        <f aca="false">IF(B355="","",IF(J355&lt;2,"Needs 2+ trade sources",IF(M355&lt;=Lists!$E$6,"Good",IF(M355&lt;=Lists!$E$2,"Moderate","Bad"))))</f>
        <v/>
      </c>
    </row>
    <row r="356" customFormat="false" ht="14.25" hidden="false" customHeight="true" outlineLevel="0" collapsed="false">
      <c r="A356" s="6"/>
      <c r="B356" s="7"/>
      <c r="C356" s="8"/>
      <c r="D356" s="9" t="str">
        <f aca="false">IF(OR(B356="",C356=""),"",IFERROR(C356-INDEX(Films!$C$2:$C$100,MATCH(B356,Films!$A$2:$A$100,0))+1,""))</f>
        <v/>
      </c>
      <c r="E356" s="10"/>
      <c r="F356" s="7"/>
      <c r="G356" s="7"/>
      <c r="H356" s="7"/>
      <c r="I356" s="7"/>
      <c r="J356" s="9" t="str">
        <f aca="false">IF(B356="","",COUNTIFS($B$2:$B$500,B356,$C$2:$C$500,C356,$F$2:$F$500,F356,$H$2:$H$500,"Trade estimate"))</f>
        <v/>
      </c>
      <c r="K356" s="11" t="str">
        <f aca="false">IF(OR(J356="",J356=0),"",_xlfn.MAXIFS($E$2:$E$500,$B$2:$B$500,B356,$C$2:$C$500,C356,$F$2:$F$500,F356,$H$2:$H$500,"Trade estimate"))</f>
        <v/>
      </c>
      <c r="L356" s="11" t="str">
        <f aca="false">IF(OR(J356="",J356=0),"",_xlfn.MINIFS($E$2:$E$500,$B$2:$B$500,B356,$C$2:$C$500,C356,$F$2:$F$500,F356,$H$2:$H$500,"Trade estimate"))</f>
        <v/>
      </c>
      <c r="M356" s="12" t="str">
        <f aca="false">IF(OR(J356="",J356&lt;2),"",IF(L356=0,"",(K356-L356)/L356))</f>
        <v/>
      </c>
      <c r="N356" s="13" t="str">
        <f aca="false">IF(B356="","",IF(J356&lt;2,"Needs 2+ trade sources",IF(M356&gt;Lists!$E$2,"CHECK","OK")))</f>
        <v/>
      </c>
      <c r="O356" s="9" t="str">
        <f aca="false">IF(B356="","",IF(J356&lt;2,"Needs 2+ trade sources",IF(M356&lt;=Lists!$E$6,"Good",IF(M356&lt;=Lists!$E$2,"Moderate","Bad"))))</f>
        <v/>
      </c>
    </row>
    <row r="357" customFormat="false" ht="14.25" hidden="false" customHeight="true" outlineLevel="0" collapsed="false">
      <c r="A357" s="6"/>
      <c r="B357" s="7"/>
      <c r="C357" s="8"/>
      <c r="D357" s="9" t="str">
        <f aca="false">IF(OR(B357="",C357=""),"",IFERROR(C357-INDEX(Films!$C$2:$C$100,MATCH(B357,Films!$A$2:$A$100,0))+1,""))</f>
        <v/>
      </c>
      <c r="E357" s="10"/>
      <c r="F357" s="7"/>
      <c r="G357" s="7"/>
      <c r="H357" s="7"/>
      <c r="I357" s="7"/>
      <c r="J357" s="9" t="str">
        <f aca="false">IF(B357="","",COUNTIFS($B$2:$B$500,B357,$C$2:$C$500,C357,$F$2:$F$500,F357,$H$2:$H$500,"Trade estimate"))</f>
        <v/>
      </c>
      <c r="K357" s="11" t="str">
        <f aca="false">IF(OR(J357="",J357=0),"",_xlfn.MAXIFS($E$2:$E$500,$B$2:$B$500,B357,$C$2:$C$500,C357,$F$2:$F$500,F357,$H$2:$H$500,"Trade estimate"))</f>
        <v/>
      </c>
      <c r="L357" s="11" t="str">
        <f aca="false">IF(OR(J357="",J357=0),"",_xlfn.MINIFS($E$2:$E$500,$B$2:$B$500,B357,$C$2:$C$500,C357,$F$2:$F$500,F357,$H$2:$H$500,"Trade estimate"))</f>
        <v/>
      </c>
      <c r="M357" s="12" t="str">
        <f aca="false">IF(OR(J357="",J357&lt;2),"",IF(L357=0,"",(K357-L357)/L357))</f>
        <v/>
      </c>
      <c r="N357" s="13" t="str">
        <f aca="false">IF(B357="","",IF(J357&lt;2,"Needs 2+ trade sources",IF(M357&gt;Lists!$E$2,"CHECK","OK")))</f>
        <v/>
      </c>
      <c r="O357" s="9" t="str">
        <f aca="false">IF(B357="","",IF(J357&lt;2,"Needs 2+ trade sources",IF(M357&lt;=Lists!$E$6,"Good",IF(M357&lt;=Lists!$E$2,"Moderate","Bad"))))</f>
        <v/>
      </c>
    </row>
    <row r="358" customFormat="false" ht="14.25" hidden="false" customHeight="true" outlineLevel="0" collapsed="false">
      <c r="A358" s="6"/>
      <c r="B358" s="7"/>
      <c r="C358" s="8"/>
      <c r="D358" s="9" t="str">
        <f aca="false">IF(OR(B358="",C358=""),"",IFERROR(C358-INDEX(Films!$C$2:$C$100,MATCH(B358,Films!$A$2:$A$100,0))+1,""))</f>
        <v/>
      </c>
      <c r="E358" s="10"/>
      <c r="F358" s="7"/>
      <c r="G358" s="7"/>
      <c r="H358" s="7"/>
      <c r="I358" s="7"/>
      <c r="J358" s="9" t="str">
        <f aca="false">IF(B358="","",COUNTIFS($B$2:$B$500,B358,$C$2:$C$500,C358,$F$2:$F$500,F358,$H$2:$H$500,"Trade estimate"))</f>
        <v/>
      </c>
      <c r="K358" s="11" t="str">
        <f aca="false">IF(OR(J358="",J358=0),"",_xlfn.MAXIFS($E$2:$E$500,$B$2:$B$500,B358,$C$2:$C$500,C358,$F$2:$F$500,F358,$H$2:$H$500,"Trade estimate"))</f>
        <v/>
      </c>
      <c r="L358" s="11" t="str">
        <f aca="false">IF(OR(J358="",J358=0),"",_xlfn.MINIFS($E$2:$E$500,$B$2:$B$500,B358,$C$2:$C$500,C358,$F$2:$F$500,F358,$H$2:$H$500,"Trade estimate"))</f>
        <v/>
      </c>
      <c r="M358" s="12" t="str">
        <f aca="false">IF(OR(J358="",J358&lt;2),"",IF(L358=0,"",(K358-L358)/L358))</f>
        <v/>
      </c>
      <c r="N358" s="13" t="str">
        <f aca="false">IF(B358="","",IF(J358&lt;2,"Needs 2+ trade sources",IF(M358&gt;Lists!$E$2,"CHECK","OK")))</f>
        <v/>
      </c>
      <c r="O358" s="9" t="str">
        <f aca="false">IF(B358="","",IF(J358&lt;2,"Needs 2+ trade sources",IF(M358&lt;=Lists!$E$6,"Good",IF(M358&lt;=Lists!$E$2,"Moderate","Bad"))))</f>
        <v/>
      </c>
    </row>
    <row r="359" customFormat="false" ht="14.25" hidden="false" customHeight="true" outlineLevel="0" collapsed="false">
      <c r="A359" s="6"/>
      <c r="B359" s="7"/>
      <c r="C359" s="8"/>
      <c r="D359" s="9" t="str">
        <f aca="false">IF(OR(B359="",C359=""),"",IFERROR(C359-INDEX(Films!$C$2:$C$100,MATCH(B359,Films!$A$2:$A$100,0))+1,""))</f>
        <v/>
      </c>
      <c r="E359" s="10"/>
      <c r="F359" s="7"/>
      <c r="G359" s="7"/>
      <c r="H359" s="7"/>
      <c r="I359" s="7"/>
      <c r="J359" s="9" t="str">
        <f aca="false">IF(B359="","",COUNTIFS($B$2:$B$500,B359,$C$2:$C$500,C359,$F$2:$F$500,F359,$H$2:$H$500,"Trade estimate"))</f>
        <v/>
      </c>
      <c r="K359" s="11" t="str">
        <f aca="false">IF(OR(J359="",J359=0),"",_xlfn.MAXIFS($E$2:$E$500,$B$2:$B$500,B359,$C$2:$C$500,C359,$F$2:$F$500,F359,$H$2:$H$500,"Trade estimate"))</f>
        <v/>
      </c>
      <c r="L359" s="11" t="str">
        <f aca="false">IF(OR(J359="",J359=0),"",_xlfn.MINIFS($E$2:$E$500,$B$2:$B$500,B359,$C$2:$C$500,C359,$F$2:$F$500,F359,$H$2:$H$500,"Trade estimate"))</f>
        <v/>
      </c>
      <c r="M359" s="12" t="str">
        <f aca="false">IF(OR(J359="",J359&lt;2),"",IF(L359=0,"",(K359-L359)/L359))</f>
        <v/>
      </c>
      <c r="N359" s="13" t="str">
        <f aca="false">IF(B359="","",IF(J359&lt;2,"Needs 2+ trade sources",IF(M359&gt;Lists!$E$2,"CHECK","OK")))</f>
        <v/>
      </c>
      <c r="O359" s="9" t="str">
        <f aca="false">IF(B359="","",IF(J359&lt;2,"Needs 2+ trade sources",IF(M359&lt;=Lists!$E$6,"Good",IF(M359&lt;=Lists!$E$2,"Moderate","Bad"))))</f>
        <v/>
      </c>
    </row>
    <row r="360" customFormat="false" ht="14.25" hidden="false" customHeight="true" outlineLevel="0" collapsed="false">
      <c r="A360" s="6"/>
      <c r="B360" s="7"/>
      <c r="C360" s="8"/>
      <c r="D360" s="9" t="str">
        <f aca="false">IF(OR(B360="",C360=""),"",IFERROR(C360-INDEX(Films!$C$2:$C$100,MATCH(B360,Films!$A$2:$A$100,0))+1,""))</f>
        <v/>
      </c>
      <c r="E360" s="10"/>
      <c r="F360" s="7"/>
      <c r="G360" s="7"/>
      <c r="H360" s="7"/>
      <c r="I360" s="7"/>
      <c r="J360" s="9" t="str">
        <f aca="false">IF(B360="","",COUNTIFS($B$2:$B$500,B360,$C$2:$C$500,C360,$F$2:$F$500,F360,$H$2:$H$500,"Trade estimate"))</f>
        <v/>
      </c>
      <c r="K360" s="11" t="str">
        <f aca="false">IF(OR(J360="",J360=0),"",_xlfn.MAXIFS($E$2:$E$500,$B$2:$B$500,B360,$C$2:$C$500,C360,$F$2:$F$500,F360,$H$2:$H$500,"Trade estimate"))</f>
        <v/>
      </c>
      <c r="L360" s="11" t="str">
        <f aca="false">IF(OR(J360="",J360=0),"",_xlfn.MINIFS($E$2:$E$500,$B$2:$B$500,B360,$C$2:$C$500,C360,$F$2:$F$500,F360,$H$2:$H$500,"Trade estimate"))</f>
        <v/>
      </c>
      <c r="M360" s="12" t="str">
        <f aca="false">IF(OR(J360="",J360&lt;2),"",IF(L360=0,"",(K360-L360)/L360))</f>
        <v/>
      </c>
      <c r="N360" s="13" t="str">
        <f aca="false">IF(B360="","",IF(J360&lt;2,"Needs 2+ trade sources",IF(M360&gt;Lists!$E$2,"CHECK","OK")))</f>
        <v/>
      </c>
      <c r="O360" s="9" t="str">
        <f aca="false">IF(B360="","",IF(J360&lt;2,"Needs 2+ trade sources",IF(M360&lt;=Lists!$E$6,"Good",IF(M360&lt;=Lists!$E$2,"Moderate","Bad"))))</f>
        <v/>
      </c>
    </row>
    <row r="361" customFormat="false" ht="14.25" hidden="false" customHeight="true" outlineLevel="0" collapsed="false">
      <c r="A361" s="6"/>
      <c r="B361" s="7"/>
      <c r="C361" s="8"/>
      <c r="D361" s="9" t="str">
        <f aca="false">IF(OR(B361="",C361=""),"",IFERROR(C361-INDEX(Films!$C$2:$C$100,MATCH(B361,Films!$A$2:$A$100,0))+1,""))</f>
        <v/>
      </c>
      <c r="E361" s="10"/>
      <c r="F361" s="7"/>
      <c r="G361" s="7"/>
      <c r="H361" s="7"/>
      <c r="I361" s="7"/>
      <c r="J361" s="9" t="str">
        <f aca="false">IF(B361="","",COUNTIFS($B$2:$B$500,B361,$C$2:$C$500,C361,$F$2:$F$500,F361,$H$2:$H$500,"Trade estimate"))</f>
        <v/>
      </c>
      <c r="K361" s="11" t="str">
        <f aca="false">IF(OR(J361="",J361=0),"",_xlfn.MAXIFS($E$2:$E$500,$B$2:$B$500,B361,$C$2:$C$500,C361,$F$2:$F$500,F361,$H$2:$H$500,"Trade estimate"))</f>
        <v/>
      </c>
      <c r="L361" s="11" t="str">
        <f aca="false">IF(OR(J361="",J361=0),"",_xlfn.MINIFS($E$2:$E$500,$B$2:$B$500,B361,$C$2:$C$500,C361,$F$2:$F$500,F361,$H$2:$H$500,"Trade estimate"))</f>
        <v/>
      </c>
      <c r="M361" s="12" t="str">
        <f aca="false">IF(OR(J361="",J361&lt;2),"",IF(L361=0,"",(K361-L361)/L361))</f>
        <v/>
      </c>
      <c r="N361" s="13" t="str">
        <f aca="false">IF(B361="","",IF(J361&lt;2,"Needs 2+ trade sources",IF(M361&gt;Lists!$E$2,"CHECK","OK")))</f>
        <v/>
      </c>
      <c r="O361" s="9" t="str">
        <f aca="false">IF(B361="","",IF(J361&lt;2,"Needs 2+ trade sources",IF(M361&lt;=Lists!$E$6,"Good",IF(M361&lt;=Lists!$E$2,"Moderate","Bad"))))</f>
        <v/>
      </c>
    </row>
    <row r="362" customFormat="false" ht="14.25" hidden="false" customHeight="true" outlineLevel="0" collapsed="false">
      <c r="A362" s="6"/>
      <c r="B362" s="7"/>
      <c r="C362" s="8"/>
      <c r="D362" s="9" t="str">
        <f aca="false">IF(OR(B362="",C362=""),"",IFERROR(C362-INDEX(Films!$C$2:$C$100,MATCH(B362,Films!$A$2:$A$100,0))+1,""))</f>
        <v/>
      </c>
      <c r="E362" s="10"/>
      <c r="F362" s="7"/>
      <c r="G362" s="7"/>
      <c r="H362" s="7"/>
      <c r="I362" s="7"/>
      <c r="J362" s="9" t="str">
        <f aca="false">IF(B362="","",COUNTIFS($B$2:$B$500,B362,$C$2:$C$500,C362,$F$2:$F$500,F362,$H$2:$H$500,"Trade estimate"))</f>
        <v/>
      </c>
      <c r="K362" s="11" t="str">
        <f aca="false">IF(OR(J362="",J362=0),"",_xlfn.MAXIFS($E$2:$E$500,$B$2:$B$500,B362,$C$2:$C$500,C362,$F$2:$F$500,F362,$H$2:$H$500,"Trade estimate"))</f>
        <v/>
      </c>
      <c r="L362" s="11" t="str">
        <f aca="false">IF(OR(J362="",J362=0),"",_xlfn.MINIFS($E$2:$E$500,$B$2:$B$500,B362,$C$2:$C$500,C362,$F$2:$F$500,F362,$H$2:$H$500,"Trade estimate"))</f>
        <v/>
      </c>
      <c r="M362" s="12" t="str">
        <f aca="false">IF(OR(J362="",J362&lt;2),"",IF(L362=0,"",(K362-L362)/L362))</f>
        <v/>
      </c>
      <c r="N362" s="13" t="str">
        <f aca="false">IF(B362="","",IF(J362&lt;2,"Needs 2+ trade sources",IF(M362&gt;Lists!$E$2,"CHECK","OK")))</f>
        <v/>
      </c>
      <c r="O362" s="9" t="str">
        <f aca="false">IF(B362="","",IF(J362&lt;2,"Needs 2+ trade sources",IF(M362&lt;=Lists!$E$6,"Good",IF(M362&lt;=Lists!$E$2,"Moderate","Bad"))))</f>
        <v/>
      </c>
    </row>
    <row r="363" customFormat="false" ht="14.25" hidden="false" customHeight="true" outlineLevel="0" collapsed="false">
      <c r="A363" s="6"/>
      <c r="B363" s="7"/>
      <c r="C363" s="8"/>
      <c r="D363" s="9" t="str">
        <f aca="false">IF(OR(B363="",C363=""),"",IFERROR(C363-INDEX(Films!$C$2:$C$100,MATCH(B363,Films!$A$2:$A$100,0))+1,""))</f>
        <v/>
      </c>
      <c r="E363" s="10"/>
      <c r="F363" s="7"/>
      <c r="G363" s="7"/>
      <c r="H363" s="7"/>
      <c r="I363" s="7"/>
      <c r="J363" s="9" t="str">
        <f aca="false">IF(B363="","",COUNTIFS($B$2:$B$500,B363,$C$2:$C$500,C363,$F$2:$F$500,F363,$H$2:$H$500,"Trade estimate"))</f>
        <v/>
      </c>
      <c r="K363" s="11" t="str">
        <f aca="false">IF(OR(J363="",J363=0),"",_xlfn.MAXIFS($E$2:$E$500,$B$2:$B$500,B363,$C$2:$C$500,C363,$F$2:$F$500,F363,$H$2:$H$500,"Trade estimate"))</f>
        <v/>
      </c>
      <c r="L363" s="11" t="str">
        <f aca="false">IF(OR(J363="",J363=0),"",_xlfn.MINIFS($E$2:$E$500,$B$2:$B$500,B363,$C$2:$C$500,C363,$F$2:$F$500,F363,$H$2:$H$500,"Trade estimate"))</f>
        <v/>
      </c>
      <c r="M363" s="12" t="str">
        <f aca="false">IF(OR(J363="",J363&lt;2),"",IF(L363=0,"",(K363-L363)/L363))</f>
        <v/>
      </c>
      <c r="N363" s="13" t="str">
        <f aca="false">IF(B363="","",IF(J363&lt;2,"Needs 2+ trade sources",IF(M363&gt;Lists!$E$2,"CHECK","OK")))</f>
        <v/>
      </c>
      <c r="O363" s="9" t="str">
        <f aca="false">IF(B363="","",IF(J363&lt;2,"Needs 2+ trade sources",IF(M363&lt;=Lists!$E$6,"Good",IF(M363&lt;=Lists!$E$2,"Moderate","Bad"))))</f>
        <v/>
      </c>
    </row>
    <row r="364" customFormat="false" ht="14.25" hidden="false" customHeight="true" outlineLevel="0" collapsed="false">
      <c r="A364" s="6"/>
      <c r="B364" s="7"/>
      <c r="C364" s="8"/>
      <c r="D364" s="9" t="str">
        <f aca="false">IF(OR(B364="",C364=""),"",IFERROR(C364-INDEX(Films!$C$2:$C$100,MATCH(B364,Films!$A$2:$A$100,0))+1,""))</f>
        <v/>
      </c>
      <c r="E364" s="10"/>
      <c r="F364" s="7"/>
      <c r="G364" s="7"/>
      <c r="H364" s="7"/>
      <c r="I364" s="7"/>
      <c r="J364" s="9" t="str">
        <f aca="false">IF(B364="","",COUNTIFS($B$2:$B$500,B364,$C$2:$C$500,C364,$F$2:$F$500,F364,$H$2:$H$500,"Trade estimate"))</f>
        <v/>
      </c>
      <c r="K364" s="11" t="str">
        <f aca="false">IF(OR(J364="",J364=0),"",_xlfn.MAXIFS($E$2:$E$500,$B$2:$B$500,B364,$C$2:$C$500,C364,$F$2:$F$500,F364,$H$2:$H$500,"Trade estimate"))</f>
        <v/>
      </c>
      <c r="L364" s="11" t="str">
        <f aca="false">IF(OR(J364="",J364=0),"",_xlfn.MINIFS($E$2:$E$500,$B$2:$B$500,B364,$C$2:$C$500,C364,$F$2:$F$500,F364,$H$2:$H$500,"Trade estimate"))</f>
        <v/>
      </c>
      <c r="M364" s="12" t="str">
        <f aca="false">IF(OR(J364="",J364&lt;2),"",IF(L364=0,"",(K364-L364)/L364))</f>
        <v/>
      </c>
      <c r="N364" s="13" t="str">
        <f aca="false">IF(B364="","",IF(J364&lt;2,"Needs 2+ trade sources",IF(M364&gt;Lists!$E$2,"CHECK","OK")))</f>
        <v/>
      </c>
      <c r="O364" s="9" t="str">
        <f aca="false">IF(B364="","",IF(J364&lt;2,"Needs 2+ trade sources",IF(M364&lt;=Lists!$E$6,"Good",IF(M364&lt;=Lists!$E$2,"Moderate","Bad"))))</f>
        <v/>
      </c>
    </row>
    <row r="365" customFormat="false" ht="14.25" hidden="false" customHeight="true" outlineLevel="0" collapsed="false">
      <c r="A365" s="6"/>
      <c r="B365" s="7"/>
      <c r="C365" s="8"/>
      <c r="D365" s="9" t="str">
        <f aca="false">IF(OR(B365="",C365=""),"",IFERROR(C365-INDEX(Films!$C$2:$C$100,MATCH(B365,Films!$A$2:$A$100,0))+1,""))</f>
        <v/>
      </c>
      <c r="E365" s="10"/>
      <c r="F365" s="7"/>
      <c r="G365" s="7"/>
      <c r="H365" s="7"/>
      <c r="I365" s="7"/>
      <c r="J365" s="9" t="str">
        <f aca="false">IF(B365="","",COUNTIFS($B$2:$B$500,B365,$C$2:$C$500,C365,$F$2:$F$500,F365,$H$2:$H$500,"Trade estimate"))</f>
        <v/>
      </c>
      <c r="K365" s="11" t="str">
        <f aca="false">IF(OR(J365="",J365=0),"",_xlfn.MAXIFS($E$2:$E$500,$B$2:$B$500,B365,$C$2:$C$500,C365,$F$2:$F$500,F365,$H$2:$H$500,"Trade estimate"))</f>
        <v/>
      </c>
      <c r="L365" s="11" t="str">
        <f aca="false">IF(OR(J365="",J365=0),"",_xlfn.MINIFS($E$2:$E$500,$B$2:$B$500,B365,$C$2:$C$500,C365,$F$2:$F$500,F365,$H$2:$H$500,"Trade estimate"))</f>
        <v/>
      </c>
      <c r="M365" s="12" t="str">
        <f aca="false">IF(OR(J365="",J365&lt;2),"",IF(L365=0,"",(K365-L365)/L365))</f>
        <v/>
      </c>
      <c r="N365" s="13" t="str">
        <f aca="false">IF(B365="","",IF(J365&lt;2,"Needs 2+ trade sources",IF(M365&gt;Lists!$E$2,"CHECK","OK")))</f>
        <v/>
      </c>
      <c r="O365" s="9" t="str">
        <f aca="false">IF(B365="","",IF(J365&lt;2,"Needs 2+ trade sources",IF(M365&lt;=Lists!$E$6,"Good",IF(M365&lt;=Lists!$E$2,"Moderate","Bad"))))</f>
        <v/>
      </c>
    </row>
    <row r="366" customFormat="false" ht="14.25" hidden="false" customHeight="true" outlineLevel="0" collapsed="false">
      <c r="A366" s="6"/>
      <c r="B366" s="7"/>
      <c r="C366" s="8"/>
      <c r="D366" s="9" t="str">
        <f aca="false">IF(OR(B366="",C366=""),"",IFERROR(C366-INDEX(Films!$C$2:$C$100,MATCH(B366,Films!$A$2:$A$100,0))+1,""))</f>
        <v/>
      </c>
      <c r="E366" s="10"/>
      <c r="F366" s="7"/>
      <c r="G366" s="7"/>
      <c r="H366" s="7"/>
      <c r="I366" s="7"/>
      <c r="J366" s="9" t="str">
        <f aca="false">IF(B366="","",COUNTIFS($B$2:$B$500,B366,$C$2:$C$500,C366,$F$2:$F$500,F366,$H$2:$H$500,"Trade estimate"))</f>
        <v/>
      </c>
      <c r="K366" s="11" t="str">
        <f aca="false">IF(OR(J366="",J366=0),"",_xlfn.MAXIFS($E$2:$E$500,$B$2:$B$500,B366,$C$2:$C$500,C366,$F$2:$F$500,F366,$H$2:$H$500,"Trade estimate"))</f>
        <v/>
      </c>
      <c r="L366" s="11" t="str">
        <f aca="false">IF(OR(J366="",J366=0),"",_xlfn.MINIFS($E$2:$E$500,$B$2:$B$500,B366,$C$2:$C$500,C366,$F$2:$F$500,F366,$H$2:$H$500,"Trade estimate"))</f>
        <v/>
      </c>
      <c r="M366" s="12" t="str">
        <f aca="false">IF(OR(J366="",J366&lt;2),"",IF(L366=0,"",(K366-L366)/L366))</f>
        <v/>
      </c>
      <c r="N366" s="13" t="str">
        <f aca="false">IF(B366="","",IF(J366&lt;2,"Needs 2+ trade sources",IF(M366&gt;Lists!$E$2,"CHECK","OK")))</f>
        <v/>
      </c>
      <c r="O366" s="9" t="str">
        <f aca="false">IF(B366="","",IF(J366&lt;2,"Needs 2+ trade sources",IF(M366&lt;=Lists!$E$6,"Good",IF(M366&lt;=Lists!$E$2,"Moderate","Bad"))))</f>
        <v/>
      </c>
    </row>
    <row r="367" customFormat="false" ht="14.25" hidden="false" customHeight="true" outlineLevel="0" collapsed="false">
      <c r="A367" s="6"/>
      <c r="B367" s="7"/>
      <c r="C367" s="8"/>
      <c r="D367" s="9" t="str">
        <f aca="false">IF(OR(B367="",C367=""),"",IFERROR(C367-INDEX(Films!$C$2:$C$100,MATCH(B367,Films!$A$2:$A$100,0))+1,""))</f>
        <v/>
      </c>
      <c r="E367" s="10"/>
      <c r="F367" s="7"/>
      <c r="G367" s="7"/>
      <c r="H367" s="7"/>
      <c r="I367" s="7"/>
      <c r="J367" s="9" t="str">
        <f aca="false">IF(B367="","",COUNTIFS($B$2:$B$500,B367,$C$2:$C$500,C367,$F$2:$F$500,F367,$H$2:$H$500,"Trade estimate"))</f>
        <v/>
      </c>
      <c r="K367" s="11" t="str">
        <f aca="false">IF(OR(J367="",J367=0),"",_xlfn.MAXIFS($E$2:$E$500,$B$2:$B$500,B367,$C$2:$C$500,C367,$F$2:$F$500,F367,$H$2:$H$500,"Trade estimate"))</f>
        <v/>
      </c>
      <c r="L367" s="11" t="str">
        <f aca="false">IF(OR(J367="",J367=0),"",_xlfn.MINIFS($E$2:$E$500,$B$2:$B$500,B367,$C$2:$C$500,C367,$F$2:$F$500,F367,$H$2:$H$500,"Trade estimate"))</f>
        <v/>
      </c>
      <c r="M367" s="12" t="str">
        <f aca="false">IF(OR(J367="",J367&lt;2),"",IF(L367=0,"",(K367-L367)/L367))</f>
        <v/>
      </c>
      <c r="N367" s="13" t="str">
        <f aca="false">IF(B367="","",IF(J367&lt;2,"Needs 2+ trade sources",IF(M367&gt;Lists!$E$2,"CHECK","OK")))</f>
        <v/>
      </c>
      <c r="O367" s="9" t="str">
        <f aca="false">IF(B367="","",IF(J367&lt;2,"Needs 2+ trade sources",IF(M367&lt;=Lists!$E$6,"Good",IF(M367&lt;=Lists!$E$2,"Moderate","Bad"))))</f>
        <v/>
      </c>
    </row>
    <row r="368" customFormat="false" ht="14.25" hidden="false" customHeight="true" outlineLevel="0" collapsed="false">
      <c r="A368" s="6"/>
      <c r="B368" s="7"/>
      <c r="C368" s="8"/>
      <c r="D368" s="9" t="str">
        <f aca="false">IF(OR(B368="",C368=""),"",IFERROR(C368-INDEX(Films!$C$2:$C$100,MATCH(B368,Films!$A$2:$A$100,0))+1,""))</f>
        <v/>
      </c>
      <c r="E368" s="10"/>
      <c r="F368" s="7"/>
      <c r="G368" s="7"/>
      <c r="H368" s="7"/>
      <c r="I368" s="7"/>
      <c r="J368" s="9" t="str">
        <f aca="false">IF(B368="","",COUNTIFS($B$2:$B$500,B368,$C$2:$C$500,C368,$F$2:$F$500,F368,$H$2:$H$500,"Trade estimate"))</f>
        <v/>
      </c>
      <c r="K368" s="11" t="str">
        <f aca="false">IF(OR(J368="",J368=0),"",_xlfn.MAXIFS($E$2:$E$500,$B$2:$B$500,B368,$C$2:$C$500,C368,$F$2:$F$500,F368,$H$2:$H$500,"Trade estimate"))</f>
        <v/>
      </c>
      <c r="L368" s="11" t="str">
        <f aca="false">IF(OR(J368="",J368=0),"",_xlfn.MINIFS($E$2:$E$500,$B$2:$B$500,B368,$C$2:$C$500,C368,$F$2:$F$500,F368,$H$2:$H$500,"Trade estimate"))</f>
        <v/>
      </c>
      <c r="M368" s="12" t="str">
        <f aca="false">IF(OR(J368="",J368&lt;2),"",IF(L368=0,"",(K368-L368)/L368))</f>
        <v/>
      </c>
      <c r="N368" s="13" t="str">
        <f aca="false">IF(B368="","",IF(J368&lt;2,"Needs 2+ trade sources",IF(M368&gt;Lists!$E$2,"CHECK","OK")))</f>
        <v/>
      </c>
      <c r="O368" s="9" t="str">
        <f aca="false">IF(B368="","",IF(J368&lt;2,"Needs 2+ trade sources",IF(M368&lt;=Lists!$E$6,"Good",IF(M368&lt;=Lists!$E$2,"Moderate","Bad"))))</f>
        <v/>
      </c>
    </row>
    <row r="369" customFormat="false" ht="14.25" hidden="false" customHeight="true" outlineLevel="0" collapsed="false">
      <c r="A369" s="6"/>
      <c r="B369" s="7"/>
      <c r="C369" s="8"/>
      <c r="D369" s="9" t="str">
        <f aca="false">IF(OR(B369="",C369=""),"",IFERROR(C369-INDEX(Films!$C$2:$C$100,MATCH(B369,Films!$A$2:$A$100,0))+1,""))</f>
        <v/>
      </c>
      <c r="E369" s="10"/>
      <c r="F369" s="7"/>
      <c r="G369" s="7"/>
      <c r="H369" s="7"/>
      <c r="I369" s="7"/>
      <c r="J369" s="9" t="str">
        <f aca="false">IF(B369="","",COUNTIFS($B$2:$B$500,B369,$C$2:$C$500,C369,$F$2:$F$500,F369,$H$2:$H$500,"Trade estimate"))</f>
        <v/>
      </c>
      <c r="K369" s="11" t="str">
        <f aca="false">IF(OR(J369="",J369=0),"",_xlfn.MAXIFS($E$2:$E$500,$B$2:$B$500,B369,$C$2:$C$500,C369,$F$2:$F$500,F369,$H$2:$H$500,"Trade estimate"))</f>
        <v/>
      </c>
      <c r="L369" s="11" t="str">
        <f aca="false">IF(OR(J369="",J369=0),"",_xlfn.MINIFS($E$2:$E$500,$B$2:$B$500,B369,$C$2:$C$500,C369,$F$2:$F$500,F369,$H$2:$H$500,"Trade estimate"))</f>
        <v/>
      </c>
      <c r="M369" s="12" t="str">
        <f aca="false">IF(OR(J369="",J369&lt;2),"",IF(L369=0,"",(K369-L369)/L369))</f>
        <v/>
      </c>
      <c r="N369" s="13" t="str">
        <f aca="false">IF(B369="","",IF(J369&lt;2,"Needs 2+ trade sources",IF(M369&gt;Lists!$E$2,"CHECK","OK")))</f>
        <v/>
      </c>
      <c r="O369" s="9" t="str">
        <f aca="false">IF(B369="","",IF(J369&lt;2,"Needs 2+ trade sources",IF(M369&lt;=Lists!$E$6,"Good",IF(M369&lt;=Lists!$E$2,"Moderate","Bad"))))</f>
        <v/>
      </c>
    </row>
    <row r="370" customFormat="false" ht="14.25" hidden="false" customHeight="true" outlineLevel="0" collapsed="false">
      <c r="A370" s="6"/>
      <c r="B370" s="7"/>
      <c r="C370" s="8"/>
      <c r="D370" s="9" t="str">
        <f aca="false">IF(OR(B370="",C370=""),"",IFERROR(C370-INDEX(Films!$C$2:$C$100,MATCH(B370,Films!$A$2:$A$100,0))+1,""))</f>
        <v/>
      </c>
      <c r="E370" s="10"/>
      <c r="F370" s="7"/>
      <c r="G370" s="7"/>
      <c r="H370" s="7"/>
      <c r="I370" s="7"/>
      <c r="J370" s="9" t="str">
        <f aca="false">IF(B370="","",COUNTIFS($B$2:$B$500,B370,$C$2:$C$500,C370,$F$2:$F$500,F370,$H$2:$H$500,"Trade estimate"))</f>
        <v/>
      </c>
      <c r="K370" s="11" t="str">
        <f aca="false">IF(OR(J370="",J370=0),"",_xlfn.MAXIFS($E$2:$E$500,$B$2:$B$500,B370,$C$2:$C$500,C370,$F$2:$F$500,F370,$H$2:$H$500,"Trade estimate"))</f>
        <v/>
      </c>
      <c r="L370" s="11" t="str">
        <f aca="false">IF(OR(J370="",J370=0),"",_xlfn.MINIFS($E$2:$E$500,$B$2:$B$500,B370,$C$2:$C$500,C370,$F$2:$F$500,F370,$H$2:$H$500,"Trade estimate"))</f>
        <v/>
      </c>
      <c r="M370" s="12" t="str">
        <f aca="false">IF(OR(J370="",J370&lt;2),"",IF(L370=0,"",(K370-L370)/L370))</f>
        <v/>
      </c>
      <c r="N370" s="13" t="str">
        <f aca="false">IF(B370="","",IF(J370&lt;2,"Needs 2+ trade sources",IF(M370&gt;Lists!$E$2,"CHECK","OK")))</f>
        <v/>
      </c>
      <c r="O370" s="9" t="str">
        <f aca="false">IF(B370="","",IF(J370&lt;2,"Needs 2+ trade sources",IF(M370&lt;=Lists!$E$6,"Good",IF(M370&lt;=Lists!$E$2,"Moderate","Bad"))))</f>
        <v/>
      </c>
    </row>
    <row r="371" customFormat="false" ht="14.25" hidden="false" customHeight="true" outlineLevel="0" collapsed="false">
      <c r="A371" s="6"/>
      <c r="B371" s="7"/>
      <c r="C371" s="8"/>
      <c r="D371" s="9" t="str">
        <f aca="false">IF(OR(B371="",C371=""),"",IFERROR(C371-INDEX(Films!$C$2:$C$100,MATCH(B371,Films!$A$2:$A$100,0))+1,""))</f>
        <v/>
      </c>
      <c r="E371" s="10"/>
      <c r="F371" s="7"/>
      <c r="G371" s="7"/>
      <c r="H371" s="7"/>
      <c r="I371" s="7"/>
      <c r="J371" s="9" t="str">
        <f aca="false">IF(B371="","",COUNTIFS($B$2:$B$500,B371,$C$2:$C$500,C371,$F$2:$F$500,F371,$H$2:$H$500,"Trade estimate"))</f>
        <v/>
      </c>
      <c r="K371" s="11" t="str">
        <f aca="false">IF(OR(J371="",J371=0),"",_xlfn.MAXIFS($E$2:$E$500,$B$2:$B$500,B371,$C$2:$C$500,C371,$F$2:$F$500,F371,$H$2:$H$500,"Trade estimate"))</f>
        <v/>
      </c>
      <c r="L371" s="11" t="str">
        <f aca="false">IF(OR(J371="",J371=0),"",_xlfn.MINIFS($E$2:$E$500,$B$2:$B$500,B371,$C$2:$C$500,C371,$F$2:$F$500,F371,$H$2:$H$500,"Trade estimate"))</f>
        <v/>
      </c>
      <c r="M371" s="12" t="str">
        <f aca="false">IF(OR(J371="",J371&lt;2),"",IF(L371=0,"",(K371-L371)/L371))</f>
        <v/>
      </c>
      <c r="N371" s="13" t="str">
        <f aca="false">IF(B371="","",IF(J371&lt;2,"Needs 2+ trade sources",IF(M371&gt;Lists!$E$2,"CHECK","OK")))</f>
        <v/>
      </c>
      <c r="O371" s="9" t="str">
        <f aca="false">IF(B371="","",IF(J371&lt;2,"Needs 2+ trade sources",IF(M371&lt;=Lists!$E$6,"Good",IF(M371&lt;=Lists!$E$2,"Moderate","Bad"))))</f>
        <v/>
      </c>
    </row>
    <row r="372" customFormat="false" ht="14.25" hidden="false" customHeight="true" outlineLevel="0" collapsed="false">
      <c r="A372" s="6"/>
      <c r="B372" s="7"/>
      <c r="C372" s="8"/>
      <c r="D372" s="9" t="str">
        <f aca="false">IF(OR(B372="",C372=""),"",IFERROR(C372-INDEX(Films!$C$2:$C$100,MATCH(B372,Films!$A$2:$A$100,0))+1,""))</f>
        <v/>
      </c>
      <c r="E372" s="10"/>
      <c r="F372" s="7"/>
      <c r="G372" s="7"/>
      <c r="H372" s="7"/>
      <c r="I372" s="7"/>
      <c r="J372" s="9" t="str">
        <f aca="false">IF(B372="","",COUNTIFS($B$2:$B$500,B372,$C$2:$C$500,C372,$F$2:$F$500,F372,$H$2:$H$500,"Trade estimate"))</f>
        <v/>
      </c>
      <c r="K372" s="11" t="str">
        <f aca="false">IF(OR(J372="",J372=0),"",_xlfn.MAXIFS($E$2:$E$500,$B$2:$B$500,B372,$C$2:$C$500,C372,$F$2:$F$500,F372,$H$2:$H$500,"Trade estimate"))</f>
        <v/>
      </c>
      <c r="L372" s="11" t="str">
        <f aca="false">IF(OR(J372="",J372=0),"",_xlfn.MINIFS($E$2:$E$500,$B$2:$B$500,B372,$C$2:$C$500,C372,$F$2:$F$500,F372,$H$2:$H$500,"Trade estimate"))</f>
        <v/>
      </c>
      <c r="M372" s="12" t="str">
        <f aca="false">IF(OR(J372="",J372&lt;2),"",IF(L372=0,"",(K372-L372)/L372))</f>
        <v/>
      </c>
      <c r="N372" s="13" t="str">
        <f aca="false">IF(B372="","",IF(J372&lt;2,"Needs 2+ trade sources",IF(M372&gt;Lists!$E$2,"CHECK","OK")))</f>
        <v/>
      </c>
      <c r="O372" s="9" t="str">
        <f aca="false">IF(B372="","",IF(J372&lt;2,"Needs 2+ trade sources",IF(M372&lt;=Lists!$E$6,"Good",IF(M372&lt;=Lists!$E$2,"Moderate","Bad"))))</f>
        <v/>
      </c>
    </row>
    <row r="373" customFormat="false" ht="14.25" hidden="false" customHeight="true" outlineLevel="0" collapsed="false">
      <c r="A373" s="6"/>
      <c r="B373" s="7"/>
      <c r="C373" s="8"/>
      <c r="D373" s="9" t="str">
        <f aca="false">IF(OR(B373="",C373=""),"",IFERROR(C373-INDEX(Films!$C$2:$C$100,MATCH(B373,Films!$A$2:$A$100,0))+1,""))</f>
        <v/>
      </c>
      <c r="E373" s="10"/>
      <c r="F373" s="7"/>
      <c r="G373" s="7"/>
      <c r="H373" s="7"/>
      <c r="I373" s="7"/>
      <c r="J373" s="9" t="str">
        <f aca="false">IF(B373="","",COUNTIFS($B$2:$B$500,B373,$C$2:$C$500,C373,$F$2:$F$500,F373,$H$2:$H$500,"Trade estimate"))</f>
        <v/>
      </c>
      <c r="K373" s="11" t="str">
        <f aca="false">IF(OR(J373="",J373=0),"",_xlfn.MAXIFS($E$2:$E$500,$B$2:$B$500,B373,$C$2:$C$500,C373,$F$2:$F$500,F373,$H$2:$H$500,"Trade estimate"))</f>
        <v/>
      </c>
      <c r="L373" s="11" t="str">
        <f aca="false">IF(OR(J373="",J373=0),"",_xlfn.MINIFS($E$2:$E$500,$B$2:$B$500,B373,$C$2:$C$500,C373,$F$2:$F$500,F373,$H$2:$H$500,"Trade estimate"))</f>
        <v/>
      </c>
      <c r="M373" s="12" t="str">
        <f aca="false">IF(OR(J373="",J373&lt;2),"",IF(L373=0,"",(K373-L373)/L373))</f>
        <v/>
      </c>
      <c r="N373" s="13" t="str">
        <f aca="false">IF(B373="","",IF(J373&lt;2,"Needs 2+ trade sources",IF(M373&gt;Lists!$E$2,"CHECK","OK")))</f>
        <v/>
      </c>
      <c r="O373" s="9" t="str">
        <f aca="false">IF(B373="","",IF(J373&lt;2,"Needs 2+ trade sources",IF(M373&lt;=Lists!$E$6,"Good",IF(M373&lt;=Lists!$E$2,"Moderate","Bad"))))</f>
        <v/>
      </c>
    </row>
    <row r="374" customFormat="false" ht="14.25" hidden="false" customHeight="true" outlineLevel="0" collapsed="false">
      <c r="A374" s="6"/>
      <c r="B374" s="7"/>
      <c r="C374" s="8"/>
      <c r="D374" s="9" t="str">
        <f aca="false">IF(OR(B374="",C374=""),"",IFERROR(C374-INDEX(Films!$C$2:$C$100,MATCH(B374,Films!$A$2:$A$100,0))+1,""))</f>
        <v/>
      </c>
      <c r="E374" s="10"/>
      <c r="F374" s="7"/>
      <c r="G374" s="7"/>
      <c r="H374" s="7"/>
      <c r="I374" s="7"/>
      <c r="J374" s="9" t="str">
        <f aca="false">IF(B374="","",COUNTIFS($B$2:$B$500,B374,$C$2:$C$500,C374,$F$2:$F$500,F374,$H$2:$H$500,"Trade estimate"))</f>
        <v/>
      </c>
      <c r="K374" s="11" t="str">
        <f aca="false">IF(OR(J374="",J374=0),"",_xlfn.MAXIFS($E$2:$E$500,$B$2:$B$500,B374,$C$2:$C$500,C374,$F$2:$F$500,F374,$H$2:$H$500,"Trade estimate"))</f>
        <v/>
      </c>
      <c r="L374" s="11" t="str">
        <f aca="false">IF(OR(J374="",J374=0),"",_xlfn.MINIFS($E$2:$E$500,$B$2:$B$500,B374,$C$2:$C$500,C374,$F$2:$F$500,F374,$H$2:$H$500,"Trade estimate"))</f>
        <v/>
      </c>
      <c r="M374" s="12" t="str">
        <f aca="false">IF(OR(J374="",J374&lt;2),"",IF(L374=0,"",(K374-L374)/L374))</f>
        <v/>
      </c>
      <c r="N374" s="13" t="str">
        <f aca="false">IF(B374="","",IF(J374&lt;2,"Needs 2+ trade sources",IF(M374&gt;Lists!$E$2,"CHECK","OK")))</f>
        <v/>
      </c>
      <c r="O374" s="9" t="str">
        <f aca="false">IF(B374="","",IF(J374&lt;2,"Needs 2+ trade sources",IF(M374&lt;=Lists!$E$6,"Good",IF(M374&lt;=Lists!$E$2,"Moderate","Bad"))))</f>
        <v/>
      </c>
    </row>
    <row r="375" customFormat="false" ht="14.25" hidden="false" customHeight="true" outlineLevel="0" collapsed="false">
      <c r="A375" s="6"/>
      <c r="B375" s="7"/>
      <c r="C375" s="8"/>
      <c r="D375" s="9" t="str">
        <f aca="false">IF(OR(B375="",C375=""),"",IFERROR(C375-INDEX(Films!$C$2:$C$100,MATCH(B375,Films!$A$2:$A$100,0))+1,""))</f>
        <v/>
      </c>
      <c r="E375" s="10"/>
      <c r="F375" s="7"/>
      <c r="G375" s="7"/>
      <c r="H375" s="7"/>
      <c r="I375" s="7"/>
      <c r="J375" s="9" t="str">
        <f aca="false">IF(B375="","",COUNTIFS($B$2:$B$500,B375,$C$2:$C$500,C375,$F$2:$F$500,F375,$H$2:$H$500,"Trade estimate"))</f>
        <v/>
      </c>
      <c r="K375" s="11" t="str">
        <f aca="false">IF(OR(J375="",J375=0),"",_xlfn.MAXIFS($E$2:$E$500,$B$2:$B$500,B375,$C$2:$C$500,C375,$F$2:$F$500,F375,$H$2:$H$500,"Trade estimate"))</f>
        <v/>
      </c>
      <c r="L375" s="11" t="str">
        <f aca="false">IF(OR(J375="",J375=0),"",_xlfn.MINIFS($E$2:$E$500,$B$2:$B$500,B375,$C$2:$C$500,C375,$F$2:$F$500,F375,$H$2:$H$500,"Trade estimate"))</f>
        <v/>
      </c>
      <c r="M375" s="12" t="str">
        <f aca="false">IF(OR(J375="",J375&lt;2),"",IF(L375=0,"",(K375-L375)/L375))</f>
        <v/>
      </c>
      <c r="N375" s="13" t="str">
        <f aca="false">IF(B375="","",IF(J375&lt;2,"Needs 2+ trade sources",IF(M375&gt;Lists!$E$2,"CHECK","OK")))</f>
        <v/>
      </c>
      <c r="O375" s="9" t="str">
        <f aca="false">IF(B375="","",IF(J375&lt;2,"Needs 2+ trade sources",IF(M375&lt;=Lists!$E$6,"Good",IF(M375&lt;=Lists!$E$2,"Moderate","Bad"))))</f>
        <v/>
      </c>
    </row>
    <row r="376" customFormat="false" ht="14.25" hidden="false" customHeight="true" outlineLevel="0" collapsed="false">
      <c r="A376" s="6"/>
      <c r="B376" s="7"/>
      <c r="C376" s="8"/>
      <c r="D376" s="9" t="str">
        <f aca="false">IF(OR(B376="",C376=""),"",IFERROR(C376-INDEX(Films!$C$2:$C$100,MATCH(B376,Films!$A$2:$A$100,0))+1,""))</f>
        <v/>
      </c>
      <c r="E376" s="10"/>
      <c r="F376" s="7"/>
      <c r="G376" s="7"/>
      <c r="H376" s="7"/>
      <c r="I376" s="7"/>
      <c r="J376" s="9" t="str">
        <f aca="false">IF(B376="","",COUNTIFS($B$2:$B$500,B376,$C$2:$C$500,C376,$F$2:$F$500,F376,$H$2:$H$500,"Trade estimate"))</f>
        <v/>
      </c>
      <c r="K376" s="11" t="str">
        <f aca="false">IF(OR(J376="",J376=0),"",_xlfn.MAXIFS($E$2:$E$500,$B$2:$B$500,B376,$C$2:$C$500,C376,$F$2:$F$500,F376,$H$2:$H$500,"Trade estimate"))</f>
        <v/>
      </c>
      <c r="L376" s="11" t="str">
        <f aca="false">IF(OR(J376="",J376=0),"",_xlfn.MINIFS($E$2:$E$500,$B$2:$B$500,B376,$C$2:$C$500,C376,$F$2:$F$500,F376,$H$2:$H$500,"Trade estimate"))</f>
        <v/>
      </c>
      <c r="M376" s="12" t="str">
        <f aca="false">IF(OR(J376="",J376&lt;2),"",IF(L376=0,"",(K376-L376)/L376))</f>
        <v/>
      </c>
      <c r="N376" s="13" t="str">
        <f aca="false">IF(B376="","",IF(J376&lt;2,"Needs 2+ trade sources",IF(M376&gt;Lists!$E$2,"CHECK","OK")))</f>
        <v/>
      </c>
      <c r="O376" s="9" t="str">
        <f aca="false">IF(B376="","",IF(J376&lt;2,"Needs 2+ trade sources",IF(M376&lt;=Lists!$E$6,"Good",IF(M376&lt;=Lists!$E$2,"Moderate","Bad"))))</f>
        <v/>
      </c>
    </row>
    <row r="377" customFormat="false" ht="14.25" hidden="false" customHeight="true" outlineLevel="0" collapsed="false">
      <c r="A377" s="6"/>
      <c r="B377" s="7"/>
      <c r="C377" s="8"/>
      <c r="D377" s="9" t="str">
        <f aca="false">IF(OR(B377="",C377=""),"",IFERROR(C377-INDEX(Films!$C$2:$C$100,MATCH(B377,Films!$A$2:$A$100,0))+1,""))</f>
        <v/>
      </c>
      <c r="E377" s="10"/>
      <c r="F377" s="7"/>
      <c r="G377" s="7"/>
      <c r="H377" s="7"/>
      <c r="I377" s="7"/>
      <c r="J377" s="9" t="str">
        <f aca="false">IF(B377="","",COUNTIFS($B$2:$B$500,B377,$C$2:$C$500,C377,$F$2:$F$500,F377,$H$2:$H$500,"Trade estimate"))</f>
        <v/>
      </c>
      <c r="K377" s="11" t="str">
        <f aca="false">IF(OR(J377="",J377=0),"",_xlfn.MAXIFS($E$2:$E$500,$B$2:$B$500,B377,$C$2:$C$500,C377,$F$2:$F$500,F377,$H$2:$H$500,"Trade estimate"))</f>
        <v/>
      </c>
      <c r="L377" s="11" t="str">
        <f aca="false">IF(OR(J377="",J377=0),"",_xlfn.MINIFS($E$2:$E$500,$B$2:$B$500,B377,$C$2:$C$500,C377,$F$2:$F$500,F377,$H$2:$H$500,"Trade estimate"))</f>
        <v/>
      </c>
      <c r="M377" s="12" t="str">
        <f aca="false">IF(OR(J377="",J377&lt;2),"",IF(L377=0,"",(K377-L377)/L377))</f>
        <v/>
      </c>
      <c r="N377" s="13" t="str">
        <f aca="false">IF(B377="","",IF(J377&lt;2,"Needs 2+ trade sources",IF(M377&gt;Lists!$E$2,"CHECK","OK")))</f>
        <v/>
      </c>
      <c r="O377" s="9" t="str">
        <f aca="false">IF(B377="","",IF(J377&lt;2,"Needs 2+ trade sources",IF(M377&lt;=Lists!$E$6,"Good",IF(M377&lt;=Lists!$E$2,"Moderate","Bad"))))</f>
        <v/>
      </c>
    </row>
    <row r="378" customFormat="false" ht="14.25" hidden="false" customHeight="true" outlineLevel="0" collapsed="false">
      <c r="A378" s="6"/>
      <c r="B378" s="7"/>
      <c r="C378" s="8"/>
      <c r="D378" s="9" t="str">
        <f aca="false">IF(OR(B378="",C378=""),"",IFERROR(C378-INDEX(Films!$C$2:$C$100,MATCH(B378,Films!$A$2:$A$100,0))+1,""))</f>
        <v/>
      </c>
      <c r="E378" s="10"/>
      <c r="F378" s="7"/>
      <c r="G378" s="7"/>
      <c r="H378" s="7"/>
      <c r="I378" s="7"/>
      <c r="J378" s="9" t="str">
        <f aca="false">IF(B378="","",COUNTIFS($B$2:$B$500,B378,$C$2:$C$500,C378,$F$2:$F$500,F378,$H$2:$H$500,"Trade estimate"))</f>
        <v/>
      </c>
      <c r="K378" s="11" t="str">
        <f aca="false">IF(OR(J378="",J378=0),"",_xlfn.MAXIFS($E$2:$E$500,$B$2:$B$500,B378,$C$2:$C$500,C378,$F$2:$F$500,F378,$H$2:$H$500,"Trade estimate"))</f>
        <v/>
      </c>
      <c r="L378" s="11" t="str">
        <f aca="false">IF(OR(J378="",J378=0),"",_xlfn.MINIFS($E$2:$E$500,$B$2:$B$500,B378,$C$2:$C$500,C378,$F$2:$F$500,F378,$H$2:$H$500,"Trade estimate"))</f>
        <v/>
      </c>
      <c r="M378" s="12" t="str">
        <f aca="false">IF(OR(J378="",J378&lt;2),"",IF(L378=0,"",(K378-L378)/L378))</f>
        <v/>
      </c>
      <c r="N378" s="13" t="str">
        <f aca="false">IF(B378="","",IF(J378&lt;2,"Needs 2+ trade sources",IF(M378&gt;Lists!$E$2,"CHECK","OK")))</f>
        <v/>
      </c>
      <c r="O378" s="9" t="str">
        <f aca="false">IF(B378="","",IF(J378&lt;2,"Needs 2+ trade sources",IF(M378&lt;=Lists!$E$6,"Good",IF(M378&lt;=Lists!$E$2,"Moderate","Bad"))))</f>
        <v/>
      </c>
    </row>
    <row r="379" customFormat="false" ht="14.25" hidden="false" customHeight="true" outlineLevel="0" collapsed="false">
      <c r="A379" s="6"/>
      <c r="B379" s="7"/>
      <c r="C379" s="8"/>
      <c r="D379" s="9" t="str">
        <f aca="false">IF(OR(B379="",C379=""),"",IFERROR(C379-INDEX(Films!$C$2:$C$100,MATCH(B379,Films!$A$2:$A$100,0))+1,""))</f>
        <v/>
      </c>
      <c r="E379" s="10"/>
      <c r="F379" s="7"/>
      <c r="G379" s="7"/>
      <c r="H379" s="7"/>
      <c r="I379" s="7"/>
      <c r="J379" s="9" t="str">
        <f aca="false">IF(B379="","",COUNTIFS($B$2:$B$500,B379,$C$2:$C$500,C379,$F$2:$F$500,F379,$H$2:$H$500,"Trade estimate"))</f>
        <v/>
      </c>
      <c r="K379" s="11" t="str">
        <f aca="false">IF(OR(J379="",J379=0),"",_xlfn.MAXIFS($E$2:$E$500,$B$2:$B$500,B379,$C$2:$C$500,C379,$F$2:$F$500,F379,$H$2:$H$500,"Trade estimate"))</f>
        <v/>
      </c>
      <c r="L379" s="11" t="str">
        <f aca="false">IF(OR(J379="",J379=0),"",_xlfn.MINIFS($E$2:$E$500,$B$2:$B$500,B379,$C$2:$C$500,C379,$F$2:$F$500,F379,$H$2:$H$500,"Trade estimate"))</f>
        <v/>
      </c>
      <c r="M379" s="12" t="str">
        <f aca="false">IF(OR(J379="",J379&lt;2),"",IF(L379=0,"",(K379-L379)/L379))</f>
        <v/>
      </c>
      <c r="N379" s="13" t="str">
        <f aca="false">IF(B379="","",IF(J379&lt;2,"Needs 2+ trade sources",IF(M379&gt;Lists!$E$2,"CHECK","OK")))</f>
        <v/>
      </c>
      <c r="O379" s="9" t="str">
        <f aca="false">IF(B379="","",IF(J379&lt;2,"Needs 2+ trade sources",IF(M379&lt;=Lists!$E$6,"Good",IF(M379&lt;=Lists!$E$2,"Moderate","Bad"))))</f>
        <v/>
      </c>
    </row>
    <row r="380" customFormat="false" ht="14.25" hidden="false" customHeight="true" outlineLevel="0" collapsed="false">
      <c r="A380" s="6"/>
      <c r="B380" s="7"/>
      <c r="C380" s="8"/>
      <c r="D380" s="9" t="str">
        <f aca="false">IF(OR(B380="",C380=""),"",IFERROR(C380-INDEX(Films!$C$2:$C$100,MATCH(B380,Films!$A$2:$A$100,0))+1,""))</f>
        <v/>
      </c>
      <c r="E380" s="10"/>
      <c r="F380" s="7"/>
      <c r="G380" s="7"/>
      <c r="H380" s="7"/>
      <c r="I380" s="7"/>
      <c r="J380" s="9" t="str">
        <f aca="false">IF(B380="","",COUNTIFS($B$2:$B$500,B380,$C$2:$C$500,C380,$F$2:$F$500,F380,$H$2:$H$500,"Trade estimate"))</f>
        <v/>
      </c>
      <c r="K380" s="11" t="str">
        <f aca="false">IF(OR(J380="",J380=0),"",_xlfn.MAXIFS($E$2:$E$500,$B$2:$B$500,B380,$C$2:$C$500,C380,$F$2:$F$500,F380,$H$2:$H$500,"Trade estimate"))</f>
        <v/>
      </c>
      <c r="L380" s="11" t="str">
        <f aca="false">IF(OR(J380="",J380=0),"",_xlfn.MINIFS($E$2:$E$500,$B$2:$B$500,B380,$C$2:$C$500,C380,$F$2:$F$500,F380,$H$2:$H$500,"Trade estimate"))</f>
        <v/>
      </c>
      <c r="M380" s="12" t="str">
        <f aca="false">IF(OR(J380="",J380&lt;2),"",IF(L380=0,"",(K380-L380)/L380))</f>
        <v/>
      </c>
      <c r="N380" s="13" t="str">
        <f aca="false">IF(B380="","",IF(J380&lt;2,"Needs 2+ trade sources",IF(M380&gt;Lists!$E$2,"CHECK","OK")))</f>
        <v/>
      </c>
      <c r="O380" s="9" t="str">
        <f aca="false">IF(B380="","",IF(J380&lt;2,"Needs 2+ trade sources",IF(M380&lt;=Lists!$E$6,"Good",IF(M380&lt;=Lists!$E$2,"Moderate","Bad"))))</f>
        <v/>
      </c>
    </row>
    <row r="381" customFormat="false" ht="14.25" hidden="false" customHeight="true" outlineLevel="0" collapsed="false">
      <c r="A381" s="6"/>
      <c r="B381" s="7"/>
      <c r="C381" s="8"/>
      <c r="D381" s="9" t="str">
        <f aca="false">IF(OR(B381="",C381=""),"",IFERROR(C381-INDEX(Films!$C$2:$C$100,MATCH(B381,Films!$A$2:$A$100,0))+1,""))</f>
        <v/>
      </c>
      <c r="E381" s="10"/>
      <c r="F381" s="7"/>
      <c r="G381" s="7"/>
      <c r="H381" s="7"/>
      <c r="I381" s="7"/>
      <c r="J381" s="9" t="str">
        <f aca="false">IF(B381="","",COUNTIFS($B$2:$B$500,B381,$C$2:$C$500,C381,$F$2:$F$500,F381,$H$2:$H$500,"Trade estimate"))</f>
        <v/>
      </c>
      <c r="K381" s="11" t="str">
        <f aca="false">IF(OR(J381="",J381=0),"",_xlfn.MAXIFS($E$2:$E$500,$B$2:$B$500,B381,$C$2:$C$500,C381,$F$2:$F$500,F381,$H$2:$H$500,"Trade estimate"))</f>
        <v/>
      </c>
      <c r="L381" s="11" t="str">
        <f aca="false">IF(OR(J381="",J381=0),"",_xlfn.MINIFS($E$2:$E$500,$B$2:$B$500,B381,$C$2:$C$500,C381,$F$2:$F$500,F381,$H$2:$H$500,"Trade estimate"))</f>
        <v/>
      </c>
      <c r="M381" s="12" t="str">
        <f aca="false">IF(OR(J381="",J381&lt;2),"",IF(L381=0,"",(K381-L381)/L381))</f>
        <v/>
      </c>
      <c r="N381" s="13" t="str">
        <f aca="false">IF(B381="","",IF(J381&lt;2,"Needs 2+ trade sources",IF(M381&gt;Lists!$E$2,"CHECK","OK")))</f>
        <v/>
      </c>
      <c r="O381" s="9" t="str">
        <f aca="false">IF(B381="","",IF(J381&lt;2,"Needs 2+ trade sources",IF(M381&lt;=Lists!$E$6,"Good",IF(M381&lt;=Lists!$E$2,"Moderate","Bad"))))</f>
        <v/>
      </c>
    </row>
    <row r="382" customFormat="false" ht="14.25" hidden="false" customHeight="true" outlineLevel="0" collapsed="false">
      <c r="A382" s="6"/>
      <c r="B382" s="7"/>
      <c r="C382" s="8"/>
      <c r="D382" s="9" t="str">
        <f aca="false">IF(OR(B382="",C382=""),"",IFERROR(C382-INDEX(Films!$C$2:$C$100,MATCH(B382,Films!$A$2:$A$100,0))+1,""))</f>
        <v/>
      </c>
      <c r="E382" s="10"/>
      <c r="F382" s="7"/>
      <c r="G382" s="7"/>
      <c r="H382" s="7"/>
      <c r="I382" s="7"/>
      <c r="J382" s="9" t="str">
        <f aca="false">IF(B382="","",COUNTIFS($B$2:$B$500,B382,$C$2:$C$500,C382,$F$2:$F$500,F382,$H$2:$H$500,"Trade estimate"))</f>
        <v/>
      </c>
      <c r="K382" s="11" t="str">
        <f aca="false">IF(OR(J382="",J382=0),"",_xlfn.MAXIFS($E$2:$E$500,$B$2:$B$500,B382,$C$2:$C$500,C382,$F$2:$F$500,F382,$H$2:$H$500,"Trade estimate"))</f>
        <v/>
      </c>
      <c r="L382" s="11" t="str">
        <f aca="false">IF(OR(J382="",J382=0),"",_xlfn.MINIFS($E$2:$E$500,$B$2:$B$500,B382,$C$2:$C$500,C382,$F$2:$F$500,F382,$H$2:$H$500,"Trade estimate"))</f>
        <v/>
      </c>
      <c r="M382" s="12" t="str">
        <f aca="false">IF(OR(J382="",J382&lt;2),"",IF(L382=0,"",(K382-L382)/L382))</f>
        <v/>
      </c>
      <c r="N382" s="13" t="str">
        <f aca="false">IF(B382="","",IF(J382&lt;2,"Needs 2+ trade sources",IF(M382&gt;Lists!$E$2,"CHECK","OK")))</f>
        <v/>
      </c>
      <c r="O382" s="9" t="str">
        <f aca="false">IF(B382="","",IF(J382&lt;2,"Needs 2+ trade sources",IF(M382&lt;=Lists!$E$6,"Good",IF(M382&lt;=Lists!$E$2,"Moderate","Bad"))))</f>
        <v/>
      </c>
    </row>
    <row r="383" customFormat="false" ht="14.25" hidden="false" customHeight="true" outlineLevel="0" collapsed="false">
      <c r="A383" s="6"/>
      <c r="B383" s="7"/>
      <c r="C383" s="8"/>
      <c r="D383" s="9" t="str">
        <f aca="false">IF(OR(B383="",C383=""),"",IFERROR(C383-INDEX(Films!$C$2:$C$100,MATCH(B383,Films!$A$2:$A$100,0))+1,""))</f>
        <v/>
      </c>
      <c r="E383" s="10"/>
      <c r="F383" s="7"/>
      <c r="G383" s="7"/>
      <c r="H383" s="7"/>
      <c r="I383" s="7"/>
      <c r="J383" s="9" t="str">
        <f aca="false">IF(B383="","",COUNTIFS($B$2:$B$500,B383,$C$2:$C$500,C383,$F$2:$F$500,F383,$H$2:$H$500,"Trade estimate"))</f>
        <v/>
      </c>
      <c r="K383" s="11" t="str">
        <f aca="false">IF(OR(J383="",J383=0),"",_xlfn.MAXIFS($E$2:$E$500,$B$2:$B$500,B383,$C$2:$C$500,C383,$F$2:$F$500,F383,$H$2:$H$500,"Trade estimate"))</f>
        <v/>
      </c>
      <c r="L383" s="11" t="str">
        <f aca="false">IF(OR(J383="",J383=0),"",_xlfn.MINIFS($E$2:$E$500,$B$2:$B$500,B383,$C$2:$C$500,C383,$F$2:$F$500,F383,$H$2:$H$500,"Trade estimate"))</f>
        <v/>
      </c>
      <c r="M383" s="12" t="str">
        <f aca="false">IF(OR(J383="",J383&lt;2),"",IF(L383=0,"",(K383-L383)/L383))</f>
        <v/>
      </c>
      <c r="N383" s="13" t="str">
        <f aca="false">IF(B383="","",IF(J383&lt;2,"Needs 2+ trade sources",IF(M383&gt;Lists!$E$2,"CHECK","OK")))</f>
        <v/>
      </c>
      <c r="O383" s="9" t="str">
        <f aca="false">IF(B383="","",IF(J383&lt;2,"Needs 2+ trade sources",IF(M383&lt;=Lists!$E$6,"Good",IF(M383&lt;=Lists!$E$2,"Moderate","Bad"))))</f>
        <v/>
      </c>
    </row>
    <row r="384" customFormat="false" ht="14.25" hidden="false" customHeight="true" outlineLevel="0" collapsed="false">
      <c r="A384" s="6"/>
      <c r="B384" s="7"/>
      <c r="C384" s="8"/>
      <c r="D384" s="9" t="str">
        <f aca="false">IF(OR(B384="",C384=""),"",IFERROR(C384-INDEX(Films!$C$2:$C$100,MATCH(B384,Films!$A$2:$A$100,0))+1,""))</f>
        <v/>
      </c>
      <c r="E384" s="10"/>
      <c r="F384" s="7"/>
      <c r="G384" s="7"/>
      <c r="H384" s="7"/>
      <c r="I384" s="7"/>
      <c r="J384" s="9" t="str">
        <f aca="false">IF(B384="","",COUNTIFS($B$2:$B$500,B384,$C$2:$C$500,C384,$F$2:$F$500,F384,$H$2:$H$500,"Trade estimate"))</f>
        <v/>
      </c>
      <c r="K384" s="11" t="str">
        <f aca="false">IF(OR(J384="",J384=0),"",_xlfn.MAXIFS($E$2:$E$500,$B$2:$B$500,B384,$C$2:$C$500,C384,$F$2:$F$500,F384,$H$2:$H$500,"Trade estimate"))</f>
        <v/>
      </c>
      <c r="L384" s="11" t="str">
        <f aca="false">IF(OR(J384="",J384=0),"",_xlfn.MINIFS($E$2:$E$500,$B$2:$B$500,B384,$C$2:$C$500,C384,$F$2:$F$500,F384,$H$2:$H$500,"Trade estimate"))</f>
        <v/>
      </c>
      <c r="M384" s="12" t="str">
        <f aca="false">IF(OR(J384="",J384&lt;2),"",IF(L384=0,"",(K384-L384)/L384))</f>
        <v/>
      </c>
      <c r="N384" s="13" t="str">
        <f aca="false">IF(B384="","",IF(J384&lt;2,"Needs 2+ trade sources",IF(M384&gt;Lists!$E$2,"CHECK","OK")))</f>
        <v/>
      </c>
      <c r="O384" s="9" t="str">
        <f aca="false">IF(B384="","",IF(J384&lt;2,"Needs 2+ trade sources",IF(M384&lt;=Lists!$E$6,"Good",IF(M384&lt;=Lists!$E$2,"Moderate","Bad"))))</f>
        <v/>
      </c>
    </row>
    <row r="385" customFormat="false" ht="14.25" hidden="false" customHeight="true" outlineLevel="0" collapsed="false">
      <c r="A385" s="6"/>
      <c r="B385" s="7"/>
      <c r="C385" s="8"/>
      <c r="D385" s="9" t="str">
        <f aca="false">IF(OR(B385="",C385=""),"",IFERROR(C385-INDEX(Films!$C$2:$C$100,MATCH(B385,Films!$A$2:$A$100,0))+1,""))</f>
        <v/>
      </c>
      <c r="E385" s="10"/>
      <c r="F385" s="7"/>
      <c r="G385" s="7"/>
      <c r="H385" s="7"/>
      <c r="I385" s="7"/>
      <c r="J385" s="9" t="str">
        <f aca="false">IF(B385="","",COUNTIFS($B$2:$B$500,B385,$C$2:$C$500,C385,$F$2:$F$500,F385,$H$2:$H$500,"Trade estimate"))</f>
        <v/>
      </c>
      <c r="K385" s="11" t="str">
        <f aca="false">IF(OR(J385="",J385=0),"",_xlfn.MAXIFS($E$2:$E$500,$B$2:$B$500,B385,$C$2:$C$500,C385,$F$2:$F$500,F385,$H$2:$H$500,"Trade estimate"))</f>
        <v/>
      </c>
      <c r="L385" s="11" t="str">
        <f aca="false">IF(OR(J385="",J385=0),"",_xlfn.MINIFS($E$2:$E$500,$B$2:$B$500,B385,$C$2:$C$500,C385,$F$2:$F$500,F385,$H$2:$H$500,"Trade estimate"))</f>
        <v/>
      </c>
      <c r="M385" s="12" t="str">
        <f aca="false">IF(OR(J385="",J385&lt;2),"",IF(L385=0,"",(K385-L385)/L385))</f>
        <v/>
      </c>
      <c r="N385" s="13" t="str">
        <f aca="false">IF(B385="","",IF(J385&lt;2,"Needs 2+ trade sources",IF(M385&gt;Lists!$E$2,"CHECK","OK")))</f>
        <v/>
      </c>
      <c r="O385" s="9" t="str">
        <f aca="false">IF(B385="","",IF(J385&lt;2,"Needs 2+ trade sources",IF(M385&lt;=Lists!$E$6,"Good",IF(M385&lt;=Lists!$E$2,"Moderate","Bad"))))</f>
        <v/>
      </c>
    </row>
    <row r="386" customFormat="false" ht="14.25" hidden="false" customHeight="true" outlineLevel="0" collapsed="false">
      <c r="A386" s="6"/>
      <c r="B386" s="7"/>
      <c r="C386" s="8"/>
      <c r="D386" s="9" t="str">
        <f aca="false">IF(OR(B386="",C386=""),"",IFERROR(C386-INDEX(Films!$C$2:$C$100,MATCH(B386,Films!$A$2:$A$100,0))+1,""))</f>
        <v/>
      </c>
      <c r="E386" s="10"/>
      <c r="F386" s="7"/>
      <c r="G386" s="7"/>
      <c r="H386" s="7"/>
      <c r="I386" s="7"/>
      <c r="J386" s="9" t="str">
        <f aca="false">IF(B386="","",COUNTIFS($B$2:$B$500,B386,$C$2:$C$500,C386,$F$2:$F$500,F386,$H$2:$H$500,"Trade estimate"))</f>
        <v/>
      </c>
      <c r="K386" s="11" t="str">
        <f aca="false">IF(OR(J386="",J386=0),"",_xlfn.MAXIFS($E$2:$E$500,$B$2:$B$500,B386,$C$2:$C$500,C386,$F$2:$F$500,F386,$H$2:$H$500,"Trade estimate"))</f>
        <v/>
      </c>
      <c r="L386" s="11" t="str">
        <f aca="false">IF(OR(J386="",J386=0),"",_xlfn.MINIFS($E$2:$E$500,$B$2:$B$500,B386,$C$2:$C$500,C386,$F$2:$F$500,F386,$H$2:$H$500,"Trade estimate"))</f>
        <v/>
      </c>
      <c r="M386" s="12" t="str">
        <f aca="false">IF(OR(J386="",J386&lt;2),"",IF(L386=0,"",(K386-L386)/L386))</f>
        <v/>
      </c>
      <c r="N386" s="13" t="str">
        <f aca="false">IF(B386="","",IF(J386&lt;2,"Needs 2+ trade sources",IF(M386&gt;Lists!$E$2,"CHECK","OK")))</f>
        <v/>
      </c>
      <c r="O386" s="9" t="str">
        <f aca="false">IF(B386="","",IF(J386&lt;2,"Needs 2+ trade sources",IF(M386&lt;=Lists!$E$6,"Good",IF(M386&lt;=Lists!$E$2,"Moderate","Bad"))))</f>
        <v/>
      </c>
    </row>
    <row r="387" customFormat="false" ht="14.25" hidden="false" customHeight="true" outlineLevel="0" collapsed="false">
      <c r="A387" s="6"/>
      <c r="B387" s="7"/>
      <c r="C387" s="8"/>
      <c r="D387" s="9" t="str">
        <f aca="false">IF(OR(B387="",C387=""),"",IFERROR(C387-INDEX(Films!$C$2:$C$100,MATCH(B387,Films!$A$2:$A$100,0))+1,""))</f>
        <v/>
      </c>
      <c r="E387" s="10"/>
      <c r="F387" s="7"/>
      <c r="G387" s="7"/>
      <c r="H387" s="7"/>
      <c r="I387" s="7"/>
      <c r="J387" s="9" t="str">
        <f aca="false">IF(B387="","",COUNTIFS($B$2:$B$500,B387,$C$2:$C$500,C387,$F$2:$F$500,F387,$H$2:$H$500,"Trade estimate"))</f>
        <v/>
      </c>
      <c r="K387" s="11" t="str">
        <f aca="false">IF(OR(J387="",J387=0),"",_xlfn.MAXIFS($E$2:$E$500,$B$2:$B$500,B387,$C$2:$C$500,C387,$F$2:$F$500,F387,$H$2:$H$500,"Trade estimate"))</f>
        <v/>
      </c>
      <c r="L387" s="11" t="str">
        <f aca="false">IF(OR(J387="",J387=0),"",_xlfn.MINIFS($E$2:$E$500,$B$2:$B$500,B387,$C$2:$C$500,C387,$F$2:$F$500,F387,$H$2:$H$500,"Trade estimate"))</f>
        <v/>
      </c>
      <c r="M387" s="12" t="str">
        <f aca="false">IF(OR(J387="",J387&lt;2),"",IF(L387=0,"",(K387-L387)/L387))</f>
        <v/>
      </c>
      <c r="N387" s="13" t="str">
        <f aca="false">IF(B387="","",IF(J387&lt;2,"Needs 2+ trade sources",IF(M387&gt;Lists!$E$2,"CHECK","OK")))</f>
        <v/>
      </c>
      <c r="O387" s="9" t="str">
        <f aca="false">IF(B387="","",IF(J387&lt;2,"Needs 2+ trade sources",IF(M387&lt;=Lists!$E$6,"Good",IF(M387&lt;=Lists!$E$2,"Moderate","Bad"))))</f>
        <v/>
      </c>
    </row>
    <row r="388" customFormat="false" ht="14.25" hidden="false" customHeight="true" outlineLevel="0" collapsed="false">
      <c r="A388" s="6"/>
      <c r="B388" s="7"/>
      <c r="C388" s="8"/>
      <c r="D388" s="9" t="str">
        <f aca="false">IF(OR(B388="",C388=""),"",IFERROR(C388-INDEX(Films!$C$2:$C$100,MATCH(B388,Films!$A$2:$A$100,0))+1,""))</f>
        <v/>
      </c>
      <c r="E388" s="10"/>
      <c r="F388" s="7"/>
      <c r="G388" s="7"/>
      <c r="H388" s="7"/>
      <c r="I388" s="7"/>
      <c r="J388" s="9" t="str">
        <f aca="false">IF(B388="","",COUNTIFS($B$2:$B$500,B388,$C$2:$C$500,C388,$F$2:$F$500,F388,$H$2:$H$500,"Trade estimate"))</f>
        <v/>
      </c>
      <c r="K388" s="11" t="str">
        <f aca="false">IF(OR(J388="",J388=0),"",_xlfn.MAXIFS($E$2:$E$500,$B$2:$B$500,B388,$C$2:$C$500,C388,$F$2:$F$500,F388,$H$2:$H$500,"Trade estimate"))</f>
        <v/>
      </c>
      <c r="L388" s="11" t="str">
        <f aca="false">IF(OR(J388="",J388=0),"",_xlfn.MINIFS($E$2:$E$500,$B$2:$B$500,B388,$C$2:$C$500,C388,$F$2:$F$500,F388,$H$2:$H$500,"Trade estimate"))</f>
        <v/>
      </c>
      <c r="M388" s="12" t="str">
        <f aca="false">IF(OR(J388="",J388&lt;2),"",IF(L388=0,"",(K388-L388)/L388))</f>
        <v/>
      </c>
      <c r="N388" s="13" t="str">
        <f aca="false">IF(B388="","",IF(J388&lt;2,"Needs 2+ trade sources",IF(M388&gt;Lists!$E$2,"CHECK","OK")))</f>
        <v/>
      </c>
      <c r="O388" s="9" t="str">
        <f aca="false">IF(B388="","",IF(J388&lt;2,"Needs 2+ trade sources",IF(M388&lt;=Lists!$E$6,"Good",IF(M388&lt;=Lists!$E$2,"Moderate","Bad"))))</f>
        <v/>
      </c>
    </row>
    <row r="389" customFormat="false" ht="14.25" hidden="false" customHeight="true" outlineLevel="0" collapsed="false">
      <c r="A389" s="6"/>
      <c r="B389" s="7"/>
      <c r="C389" s="8"/>
      <c r="D389" s="9" t="str">
        <f aca="false">IF(OR(B389="",C389=""),"",IFERROR(C389-INDEX(Films!$C$2:$C$100,MATCH(B389,Films!$A$2:$A$100,0))+1,""))</f>
        <v/>
      </c>
      <c r="E389" s="10"/>
      <c r="F389" s="7"/>
      <c r="G389" s="7"/>
      <c r="H389" s="7"/>
      <c r="I389" s="7"/>
      <c r="J389" s="9" t="str">
        <f aca="false">IF(B389="","",COUNTIFS($B$2:$B$500,B389,$C$2:$C$500,C389,$F$2:$F$500,F389,$H$2:$H$500,"Trade estimate"))</f>
        <v/>
      </c>
      <c r="K389" s="11" t="str">
        <f aca="false">IF(OR(J389="",J389=0),"",_xlfn.MAXIFS($E$2:$E$500,$B$2:$B$500,B389,$C$2:$C$500,C389,$F$2:$F$500,F389,$H$2:$H$500,"Trade estimate"))</f>
        <v/>
      </c>
      <c r="L389" s="11" t="str">
        <f aca="false">IF(OR(J389="",J389=0),"",_xlfn.MINIFS($E$2:$E$500,$B$2:$B$500,B389,$C$2:$C$500,C389,$F$2:$F$500,F389,$H$2:$H$500,"Trade estimate"))</f>
        <v/>
      </c>
      <c r="M389" s="12" t="str">
        <f aca="false">IF(OR(J389="",J389&lt;2),"",IF(L389=0,"",(K389-L389)/L389))</f>
        <v/>
      </c>
      <c r="N389" s="13" t="str">
        <f aca="false">IF(B389="","",IF(J389&lt;2,"Needs 2+ trade sources",IF(M389&gt;Lists!$E$2,"CHECK","OK")))</f>
        <v/>
      </c>
      <c r="O389" s="9" t="str">
        <f aca="false">IF(B389="","",IF(J389&lt;2,"Needs 2+ trade sources",IF(M389&lt;=Lists!$E$6,"Good",IF(M389&lt;=Lists!$E$2,"Moderate","Bad"))))</f>
        <v/>
      </c>
    </row>
    <row r="390" customFormat="false" ht="14.25" hidden="false" customHeight="true" outlineLevel="0" collapsed="false">
      <c r="A390" s="6"/>
      <c r="B390" s="7"/>
      <c r="C390" s="8"/>
      <c r="D390" s="9" t="str">
        <f aca="false">IF(OR(B390="",C390=""),"",IFERROR(C390-INDEX(Films!$C$2:$C$100,MATCH(B390,Films!$A$2:$A$100,0))+1,""))</f>
        <v/>
      </c>
      <c r="E390" s="10"/>
      <c r="F390" s="7"/>
      <c r="G390" s="7"/>
      <c r="H390" s="7"/>
      <c r="I390" s="7"/>
      <c r="J390" s="9" t="str">
        <f aca="false">IF(B390="","",COUNTIFS($B$2:$B$500,B390,$C$2:$C$500,C390,$F$2:$F$500,F390,$H$2:$H$500,"Trade estimate"))</f>
        <v/>
      </c>
      <c r="K390" s="11" t="str">
        <f aca="false">IF(OR(J390="",J390=0),"",_xlfn.MAXIFS($E$2:$E$500,$B$2:$B$500,B390,$C$2:$C$500,C390,$F$2:$F$500,F390,$H$2:$H$500,"Trade estimate"))</f>
        <v/>
      </c>
      <c r="L390" s="11" t="str">
        <f aca="false">IF(OR(J390="",J390=0),"",_xlfn.MINIFS($E$2:$E$500,$B$2:$B$500,B390,$C$2:$C$500,C390,$F$2:$F$500,F390,$H$2:$H$500,"Trade estimate"))</f>
        <v/>
      </c>
      <c r="M390" s="12" t="str">
        <f aca="false">IF(OR(J390="",J390&lt;2),"",IF(L390=0,"",(K390-L390)/L390))</f>
        <v/>
      </c>
      <c r="N390" s="13" t="str">
        <f aca="false">IF(B390="","",IF(J390&lt;2,"Needs 2+ trade sources",IF(M390&gt;Lists!$E$2,"CHECK","OK")))</f>
        <v/>
      </c>
      <c r="O390" s="9" t="str">
        <f aca="false">IF(B390="","",IF(J390&lt;2,"Needs 2+ trade sources",IF(M390&lt;=Lists!$E$6,"Good",IF(M390&lt;=Lists!$E$2,"Moderate","Bad"))))</f>
        <v/>
      </c>
    </row>
    <row r="391" customFormat="false" ht="14.25" hidden="false" customHeight="true" outlineLevel="0" collapsed="false">
      <c r="A391" s="6"/>
      <c r="B391" s="7"/>
      <c r="C391" s="8"/>
      <c r="D391" s="9" t="str">
        <f aca="false">IF(OR(B391="",C391=""),"",IFERROR(C391-INDEX(Films!$C$2:$C$100,MATCH(B391,Films!$A$2:$A$100,0))+1,""))</f>
        <v/>
      </c>
      <c r="E391" s="10"/>
      <c r="F391" s="7"/>
      <c r="G391" s="7"/>
      <c r="H391" s="7"/>
      <c r="I391" s="7"/>
      <c r="J391" s="9" t="str">
        <f aca="false">IF(B391="","",COUNTIFS($B$2:$B$500,B391,$C$2:$C$500,C391,$F$2:$F$500,F391,$H$2:$H$500,"Trade estimate"))</f>
        <v/>
      </c>
      <c r="K391" s="11" t="str">
        <f aca="false">IF(OR(J391="",J391=0),"",_xlfn.MAXIFS($E$2:$E$500,$B$2:$B$500,B391,$C$2:$C$500,C391,$F$2:$F$500,F391,$H$2:$H$500,"Trade estimate"))</f>
        <v/>
      </c>
      <c r="L391" s="11" t="str">
        <f aca="false">IF(OR(J391="",J391=0),"",_xlfn.MINIFS($E$2:$E$500,$B$2:$B$500,B391,$C$2:$C$500,C391,$F$2:$F$500,F391,$H$2:$H$500,"Trade estimate"))</f>
        <v/>
      </c>
      <c r="M391" s="12" t="str">
        <f aca="false">IF(OR(J391="",J391&lt;2),"",IF(L391=0,"",(K391-L391)/L391))</f>
        <v/>
      </c>
      <c r="N391" s="13" t="str">
        <f aca="false">IF(B391="","",IF(J391&lt;2,"Needs 2+ trade sources",IF(M391&gt;Lists!$E$2,"CHECK","OK")))</f>
        <v/>
      </c>
      <c r="O391" s="9" t="str">
        <f aca="false">IF(B391="","",IF(J391&lt;2,"Needs 2+ trade sources",IF(M391&lt;=Lists!$E$6,"Good",IF(M391&lt;=Lists!$E$2,"Moderate","Bad"))))</f>
        <v/>
      </c>
    </row>
    <row r="392" customFormat="false" ht="14.25" hidden="false" customHeight="true" outlineLevel="0" collapsed="false">
      <c r="A392" s="6"/>
      <c r="B392" s="7"/>
      <c r="C392" s="8"/>
      <c r="D392" s="9" t="str">
        <f aca="false">IF(OR(B392="",C392=""),"",IFERROR(C392-INDEX(Films!$C$2:$C$100,MATCH(B392,Films!$A$2:$A$100,0))+1,""))</f>
        <v/>
      </c>
      <c r="E392" s="10"/>
      <c r="F392" s="7"/>
      <c r="G392" s="7"/>
      <c r="H392" s="7"/>
      <c r="I392" s="7"/>
      <c r="J392" s="9" t="str">
        <f aca="false">IF(B392="","",COUNTIFS($B$2:$B$500,B392,$C$2:$C$500,C392,$F$2:$F$500,F392,$H$2:$H$500,"Trade estimate"))</f>
        <v/>
      </c>
      <c r="K392" s="11" t="str">
        <f aca="false">IF(OR(J392="",J392=0),"",_xlfn.MAXIFS($E$2:$E$500,$B$2:$B$500,B392,$C$2:$C$500,C392,$F$2:$F$500,F392,$H$2:$H$500,"Trade estimate"))</f>
        <v/>
      </c>
      <c r="L392" s="11" t="str">
        <f aca="false">IF(OR(J392="",J392=0),"",_xlfn.MINIFS($E$2:$E$500,$B$2:$B$500,B392,$C$2:$C$500,C392,$F$2:$F$500,F392,$H$2:$H$500,"Trade estimate"))</f>
        <v/>
      </c>
      <c r="M392" s="12" t="str">
        <f aca="false">IF(OR(J392="",J392&lt;2),"",IF(L392=0,"",(K392-L392)/L392))</f>
        <v/>
      </c>
      <c r="N392" s="13" t="str">
        <f aca="false">IF(B392="","",IF(J392&lt;2,"Needs 2+ trade sources",IF(M392&gt;Lists!$E$2,"CHECK","OK")))</f>
        <v/>
      </c>
      <c r="O392" s="9" t="str">
        <f aca="false">IF(B392="","",IF(J392&lt;2,"Needs 2+ trade sources",IF(M392&lt;=Lists!$E$6,"Good",IF(M392&lt;=Lists!$E$2,"Moderate","Bad"))))</f>
        <v/>
      </c>
    </row>
    <row r="393" customFormat="false" ht="14.25" hidden="false" customHeight="true" outlineLevel="0" collapsed="false">
      <c r="A393" s="6"/>
      <c r="B393" s="7"/>
      <c r="C393" s="8"/>
      <c r="D393" s="9" t="str">
        <f aca="false">IF(OR(B393="",C393=""),"",IFERROR(C393-INDEX(Films!$C$2:$C$100,MATCH(B393,Films!$A$2:$A$100,0))+1,""))</f>
        <v/>
      </c>
      <c r="E393" s="10"/>
      <c r="F393" s="7"/>
      <c r="G393" s="7"/>
      <c r="H393" s="7"/>
      <c r="I393" s="7"/>
      <c r="J393" s="9" t="str">
        <f aca="false">IF(B393="","",COUNTIFS($B$2:$B$500,B393,$C$2:$C$500,C393,$F$2:$F$500,F393,$H$2:$H$500,"Trade estimate"))</f>
        <v/>
      </c>
      <c r="K393" s="11" t="str">
        <f aca="false">IF(OR(J393="",J393=0),"",_xlfn.MAXIFS($E$2:$E$500,$B$2:$B$500,B393,$C$2:$C$500,C393,$F$2:$F$500,F393,$H$2:$H$500,"Trade estimate"))</f>
        <v/>
      </c>
      <c r="L393" s="11" t="str">
        <f aca="false">IF(OR(J393="",J393=0),"",_xlfn.MINIFS($E$2:$E$500,$B$2:$B$500,B393,$C$2:$C$500,C393,$F$2:$F$500,F393,$H$2:$H$500,"Trade estimate"))</f>
        <v/>
      </c>
      <c r="M393" s="12" t="str">
        <f aca="false">IF(OR(J393="",J393&lt;2),"",IF(L393=0,"",(K393-L393)/L393))</f>
        <v/>
      </c>
      <c r="N393" s="13" t="str">
        <f aca="false">IF(B393="","",IF(J393&lt;2,"Needs 2+ trade sources",IF(M393&gt;Lists!$E$2,"CHECK","OK")))</f>
        <v/>
      </c>
      <c r="O393" s="9" t="str">
        <f aca="false">IF(B393="","",IF(J393&lt;2,"Needs 2+ trade sources",IF(M393&lt;=Lists!$E$6,"Good",IF(M393&lt;=Lists!$E$2,"Moderate","Bad"))))</f>
        <v/>
      </c>
    </row>
    <row r="394" customFormat="false" ht="14.25" hidden="false" customHeight="true" outlineLevel="0" collapsed="false">
      <c r="A394" s="6"/>
      <c r="B394" s="7"/>
      <c r="C394" s="8"/>
      <c r="D394" s="9" t="str">
        <f aca="false">IF(OR(B394="",C394=""),"",IFERROR(C394-INDEX(Films!$C$2:$C$100,MATCH(B394,Films!$A$2:$A$100,0))+1,""))</f>
        <v/>
      </c>
      <c r="E394" s="10"/>
      <c r="F394" s="7"/>
      <c r="G394" s="7"/>
      <c r="H394" s="7"/>
      <c r="I394" s="7"/>
      <c r="J394" s="9" t="str">
        <f aca="false">IF(B394="","",COUNTIFS($B$2:$B$500,B394,$C$2:$C$500,C394,$F$2:$F$500,F394,$H$2:$H$500,"Trade estimate"))</f>
        <v/>
      </c>
      <c r="K394" s="11" t="str">
        <f aca="false">IF(OR(J394="",J394=0),"",_xlfn.MAXIFS($E$2:$E$500,$B$2:$B$500,B394,$C$2:$C$500,C394,$F$2:$F$500,F394,$H$2:$H$500,"Trade estimate"))</f>
        <v/>
      </c>
      <c r="L394" s="11" t="str">
        <f aca="false">IF(OR(J394="",J394=0),"",_xlfn.MINIFS($E$2:$E$500,$B$2:$B$500,B394,$C$2:$C$500,C394,$F$2:$F$500,F394,$H$2:$H$500,"Trade estimate"))</f>
        <v/>
      </c>
      <c r="M394" s="12" t="str">
        <f aca="false">IF(OR(J394="",J394&lt;2),"",IF(L394=0,"",(K394-L394)/L394))</f>
        <v/>
      </c>
      <c r="N394" s="13" t="str">
        <f aca="false">IF(B394="","",IF(J394&lt;2,"Needs 2+ trade sources",IF(M394&gt;Lists!$E$2,"CHECK","OK")))</f>
        <v/>
      </c>
      <c r="O394" s="9" t="str">
        <f aca="false">IF(B394="","",IF(J394&lt;2,"Needs 2+ trade sources",IF(M394&lt;=Lists!$E$6,"Good",IF(M394&lt;=Lists!$E$2,"Moderate","Bad"))))</f>
        <v/>
      </c>
    </row>
    <row r="395" customFormat="false" ht="14.25" hidden="false" customHeight="true" outlineLevel="0" collapsed="false">
      <c r="A395" s="6"/>
      <c r="B395" s="7"/>
      <c r="C395" s="8"/>
      <c r="D395" s="9" t="str">
        <f aca="false">IF(OR(B395="",C395=""),"",IFERROR(C395-INDEX(Films!$C$2:$C$100,MATCH(B395,Films!$A$2:$A$100,0))+1,""))</f>
        <v/>
      </c>
      <c r="E395" s="10"/>
      <c r="F395" s="7"/>
      <c r="G395" s="7"/>
      <c r="H395" s="7"/>
      <c r="I395" s="7"/>
      <c r="J395" s="9" t="str">
        <f aca="false">IF(B395="","",COUNTIFS($B$2:$B$500,B395,$C$2:$C$500,C395,$F$2:$F$500,F395,$H$2:$H$500,"Trade estimate"))</f>
        <v/>
      </c>
      <c r="K395" s="11" t="str">
        <f aca="false">IF(OR(J395="",J395=0),"",_xlfn.MAXIFS($E$2:$E$500,$B$2:$B$500,B395,$C$2:$C$500,C395,$F$2:$F$500,F395,$H$2:$H$500,"Trade estimate"))</f>
        <v/>
      </c>
      <c r="L395" s="11" t="str">
        <f aca="false">IF(OR(J395="",J395=0),"",_xlfn.MINIFS($E$2:$E$500,$B$2:$B$500,B395,$C$2:$C$500,C395,$F$2:$F$500,F395,$H$2:$H$500,"Trade estimate"))</f>
        <v/>
      </c>
      <c r="M395" s="12" t="str">
        <f aca="false">IF(OR(J395="",J395&lt;2),"",IF(L395=0,"",(K395-L395)/L395))</f>
        <v/>
      </c>
      <c r="N395" s="13" t="str">
        <f aca="false">IF(B395="","",IF(J395&lt;2,"Needs 2+ trade sources",IF(M395&gt;Lists!$E$2,"CHECK","OK")))</f>
        <v/>
      </c>
      <c r="O395" s="9" t="str">
        <f aca="false">IF(B395="","",IF(J395&lt;2,"Needs 2+ trade sources",IF(M395&lt;=Lists!$E$6,"Good",IF(M395&lt;=Lists!$E$2,"Moderate","Bad"))))</f>
        <v/>
      </c>
    </row>
    <row r="396" customFormat="false" ht="14.25" hidden="false" customHeight="true" outlineLevel="0" collapsed="false">
      <c r="A396" s="6"/>
      <c r="B396" s="7"/>
      <c r="C396" s="8"/>
      <c r="D396" s="9" t="str">
        <f aca="false">IF(OR(B396="",C396=""),"",IFERROR(C396-INDEX(Films!$C$2:$C$100,MATCH(B396,Films!$A$2:$A$100,0))+1,""))</f>
        <v/>
      </c>
      <c r="E396" s="10"/>
      <c r="F396" s="7"/>
      <c r="G396" s="7"/>
      <c r="H396" s="7"/>
      <c r="I396" s="7"/>
      <c r="J396" s="9" t="str">
        <f aca="false">IF(B396="","",COUNTIFS($B$2:$B$500,B396,$C$2:$C$500,C396,$F$2:$F$500,F396,$H$2:$H$500,"Trade estimate"))</f>
        <v/>
      </c>
      <c r="K396" s="11" t="str">
        <f aca="false">IF(OR(J396="",J396=0),"",_xlfn.MAXIFS($E$2:$E$500,$B$2:$B$500,B396,$C$2:$C$500,C396,$F$2:$F$500,F396,$H$2:$H$500,"Trade estimate"))</f>
        <v/>
      </c>
      <c r="L396" s="11" t="str">
        <f aca="false">IF(OR(J396="",J396=0),"",_xlfn.MINIFS($E$2:$E$500,$B$2:$B$500,B396,$C$2:$C$500,C396,$F$2:$F$500,F396,$H$2:$H$500,"Trade estimate"))</f>
        <v/>
      </c>
      <c r="M396" s="12" t="str">
        <f aca="false">IF(OR(J396="",J396&lt;2),"",IF(L396=0,"",(K396-L396)/L396))</f>
        <v/>
      </c>
      <c r="N396" s="13" t="str">
        <f aca="false">IF(B396="","",IF(J396&lt;2,"Needs 2+ trade sources",IF(M396&gt;Lists!$E$2,"CHECK","OK")))</f>
        <v/>
      </c>
      <c r="O396" s="9" t="str">
        <f aca="false">IF(B396="","",IF(J396&lt;2,"Needs 2+ trade sources",IF(M396&lt;=Lists!$E$6,"Good",IF(M396&lt;=Lists!$E$2,"Moderate","Bad"))))</f>
        <v/>
      </c>
    </row>
    <row r="397" customFormat="false" ht="14.25" hidden="false" customHeight="true" outlineLevel="0" collapsed="false">
      <c r="A397" s="6"/>
      <c r="B397" s="7"/>
      <c r="C397" s="8"/>
      <c r="D397" s="9" t="str">
        <f aca="false">IF(OR(B397="",C397=""),"",IFERROR(C397-INDEX(Films!$C$2:$C$100,MATCH(B397,Films!$A$2:$A$100,0))+1,""))</f>
        <v/>
      </c>
      <c r="E397" s="10"/>
      <c r="F397" s="7"/>
      <c r="G397" s="7"/>
      <c r="H397" s="7"/>
      <c r="I397" s="7"/>
      <c r="J397" s="9" t="str">
        <f aca="false">IF(B397="","",COUNTIFS($B$2:$B$500,B397,$C$2:$C$500,C397,$F$2:$F$500,F397,$H$2:$H$500,"Trade estimate"))</f>
        <v/>
      </c>
      <c r="K397" s="11" t="str">
        <f aca="false">IF(OR(J397="",J397=0),"",_xlfn.MAXIFS($E$2:$E$500,$B$2:$B$500,B397,$C$2:$C$500,C397,$F$2:$F$500,F397,$H$2:$H$500,"Trade estimate"))</f>
        <v/>
      </c>
      <c r="L397" s="11" t="str">
        <f aca="false">IF(OR(J397="",J397=0),"",_xlfn.MINIFS($E$2:$E$500,$B$2:$B$500,B397,$C$2:$C$500,C397,$F$2:$F$500,F397,$H$2:$H$500,"Trade estimate"))</f>
        <v/>
      </c>
      <c r="M397" s="12" t="str">
        <f aca="false">IF(OR(J397="",J397&lt;2),"",IF(L397=0,"",(K397-L397)/L397))</f>
        <v/>
      </c>
      <c r="N397" s="13" t="str">
        <f aca="false">IF(B397="","",IF(J397&lt;2,"Needs 2+ trade sources",IF(M397&gt;Lists!$E$2,"CHECK","OK")))</f>
        <v/>
      </c>
      <c r="O397" s="9" t="str">
        <f aca="false">IF(B397="","",IF(J397&lt;2,"Needs 2+ trade sources",IF(M397&lt;=Lists!$E$6,"Good",IF(M397&lt;=Lists!$E$2,"Moderate","Bad"))))</f>
        <v/>
      </c>
    </row>
    <row r="398" customFormat="false" ht="14.25" hidden="false" customHeight="true" outlineLevel="0" collapsed="false">
      <c r="A398" s="6"/>
      <c r="B398" s="7"/>
      <c r="C398" s="8"/>
      <c r="D398" s="9" t="str">
        <f aca="false">IF(OR(B398="",C398=""),"",IFERROR(C398-INDEX(Films!$C$2:$C$100,MATCH(B398,Films!$A$2:$A$100,0))+1,""))</f>
        <v/>
      </c>
      <c r="E398" s="10"/>
      <c r="F398" s="7"/>
      <c r="G398" s="7"/>
      <c r="H398" s="7"/>
      <c r="I398" s="7"/>
      <c r="J398" s="9" t="str">
        <f aca="false">IF(B398="","",COUNTIFS($B$2:$B$500,B398,$C$2:$C$500,C398,$F$2:$F$500,F398,$H$2:$H$500,"Trade estimate"))</f>
        <v/>
      </c>
      <c r="K398" s="11" t="str">
        <f aca="false">IF(OR(J398="",J398=0),"",_xlfn.MAXIFS($E$2:$E$500,$B$2:$B$500,B398,$C$2:$C$500,C398,$F$2:$F$500,F398,$H$2:$H$500,"Trade estimate"))</f>
        <v/>
      </c>
      <c r="L398" s="11" t="str">
        <f aca="false">IF(OR(J398="",J398=0),"",_xlfn.MINIFS($E$2:$E$500,$B$2:$B$500,B398,$C$2:$C$500,C398,$F$2:$F$500,F398,$H$2:$H$500,"Trade estimate"))</f>
        <v/>
      </c>
      <c r="M398" s="12" t="str">
        <f aca="false">IF(OR(J398="",J398&lt;2),"",IF(L398=0,"",(K398-L398)/L398))</f>
        <v/>
      </c>
      <c r="N398" s="13" t="str">
        <f aca="false">IF(B398="","",IF(J398&lt;2,"Needs 2+ trade sources",IF(M398&gt;Lists!$E$2,"CHECK","OK")))</f>
        <v/>
      </c>
      <c r="O398" s="9" t="str">
        <f aca="false">IF(B398="","",IF(J398&lt;2,"Needs 2+ trade sources",IF(M398&lt;=Lists!$E$6,"Good",IF(M398&lt;=Lists!$E$2,"Moderate","Bad"))))</f>
        <v/>
      </c>
    </row>
    <row r="399" customFormat="false" ht="14.25" hidden="false" customHeight="true" outlineLevel="0" collapsed="false">
      <c r="A399" s="6"/>
      <c r="B399" s="7"/>
      <c r="C399" s="8"/>
      <c r="D399" s="9" t="str">
        <f aca="false">IF(OR(B399="",C399=""),"",IFERROR(C399-INDEX(Films!$C$2:$C$100,MATCH(B399,Films!$A$2:$A$100,0))+1,""))</f>
        <v/>
      </c>
      <c r="E399" s="10"/>
      <c r="F399" s="7"/>
      <c r="G399" s="7"/>
      <c r="H399" s="7"/>
      <c r="I399" s="7"/>
      <c r="J399" s="9" t="str">
        <f aca="false">IF(B399="","",COUNTIFS($B$2:$B$500,B399,$C$2:$C$500,C399,$F$2:$F$500,F399,$H$2:$H$500,"Trade estimate"))</f>
        <v/>
      </c>
      <c r="K399" s="11" t="str">
        <f aca="false">IF(OR(J399="",J399=0),"",_xlfn.MAXIFS($E$2:$E$500,$B$2:$B$500,B399,$C$2:$C$500,C399,$F$2:$F$500,F399,$H$2:$H$500,"Trade estimate"))</f>
        <v/>
      </c>
      <c r="L399" s="11" t="str">
        <f aca="false">IF(OR(J399="",J399=0),"",_xlfn.MINIFS($E$2:$E$500,$B$2:$B$500,B399,$C$2:$C$500,C399,$F$2:$F$500,F399,$H$2:$H$500,"Trade estimate"))</f>
        <v/>
      </c>
      <c r="M399" s="12" t="str">
        <f aca="false">IF(OR(J399="",J399&lt;2),"",IF(L399=0,"",(K399-L399)/L399))</f>
        <v/>
      </c>
      <c r="N399" s="13" t="str">
        <f aca="false">IF(B399="","",IF(J399&lt;2,"Needs 2+ trade sources",IF(M399&gt;Lists!$E$2,"CHECK","OK")))</f>
        <v/>
      </c>
      <c r="O399" s="9" t="str">
        <f aca="false">IF(B399="","",IF(J399&lt;2,"Needs 2+ trade sources",IF(M399&lt;=Lists!$E$6,"Good",IF(M399&lt;=Lists!$E$2,"Moderate","Bad"))))</f>
        <v/>
      </c>
    </row>
    <row r="400" customFormat="false" ht="14.25" hidden="false" customHeight="true" outlineLevel="0" collapsed="false">
      <c r="A400" s="6"/>
      <c r="B400" s="7"/>
      <c r="C400" s="8"/>
      <c r="D400" s="9" t="str">
        <f aca="false">IF(OR(B400="",C400=""),"",IFERROR(C400-INDEX(Films!$C$2:$C$100,MATCH(B400,Films!$A$2:$A$100,0))+1,""))</f>
        <v/>
      </c>
      <c r="E400" s="10"/>
      <c r="F400" s="7"/>
      <c r="G400" s="7"/>
      <c r="H400" s="7"/>
      <c r="I400" s="7"/>
      <c r="J400" s="9" t="str">
        <f aca="false">IF(B400="","",COUNTIFS($B$2:$B$500,B400,$C$2:$C$500,C400,$F$2:$F$500,F400,$H$2:$H$500,"Trade estimate"))</f>
        <v/>
      </c>
      <c r="K400" s="11" t="str">
        <f aca="false">IF(OR(J400="",J400=0),"",_xlfn.MAXIFS($E$2:$E$500,$B$2:$B$500,B400,$C$2:$C$500,C400,$F$2:$F$500,F400,$H$2:$H$500,"Trade estimate"))</f>
        <v/>
      </c>
      <c r="L400" s="11" t="str">
        <f aca="false">IF(OR(J400="",J400=0),"",_xlfn.MINIFS($E$2:$E$500,$B$2:$B$500,B400,$C$2:$C$500,C400,$F$2:$F$500,F400,$H$2:$H$500,"Trade estimate"))</f>
        <v/>
      </c>
      <c r="M400" s="12" t="str">
        <f aca="false">IF(OR(J400="",J400&lt;2),"",IF(L400=0,"",(K400-L400)/L400))</f>
        <v/>
      </c>
      <c r="N400" s="13" t="str">
        <f aca="false">IF(B400="","",IF(J400&lt;2,"Needs 2+ trade sources",IF(M400&gt;Lists!$E$2,"CHECK","OK")))</f>
        <v/>
      </c>
      <c r="O400" s="9" t="str">
        <f aca="false">IF(B400="","",IF(J400&lt;2,"Needs 2+ trade sources",IF(M400&lt;=Lists!$E$6,"Good",IF(M400&lt;=Lists!$E$2,"Moderate","Bad"))))</f>
        <v/>
      </c>
    </row>
    <row r="401" customFormat="false" ht="14.25" hidden="false" customHeight="true" outlineLevel="0" collapsed="false">
      <c r="A401" s="6"/>
      <c r="B401" s="7"/>
      <c r="C401" s="8"/>
      <c r="D401" s="9" t="str">
        <f aca="false">IF(OR(B401="",C401=""),"",IFERROR(C401-INDEX(Films!$C$2:$C$100,MATCH(B401,Films!$A$2:$A$100,0))+1,""))</f>
        <v/>
      </c>
      <c r="E401" s="10"/>
      <c r="F401" s="7"/>
      <c r="G401" s="7"/>
      <c r="H401" s="7"/>
      <c r="I401" s="7"/>
      <c r="J401" s="9" t="str">
        <f aca="false">IF(B401="","",COUNTIFS($B$2:$B$500,B401,$C$2:$C$500,C401,$F$2:$F$500,F401,$H$2:$H$500,"Trade estimate"))</f>
        <v/>
      </c>
      <c r="K401" s="11" t="str">
        <f aca="false">IF(OR(J401="",J401=0),"",_xlfn.MAXIFS($E$2:$E$500,$B$2:$B$500,B401,$C$2:$C$500,C401,$F$2:$F$500,F401,$H$2:$H$500,"Trade estimate"))</f>
        <v/>
      </c>
      <c r="L401" s="11" t="str">
        <f aca="false">IF(OR(J401="",J401=0),"",_xlfn.MINIFS($E$2:$E$500,$B$2:$B$500,B401,$C$2:$C$500,C401,$F$2:$F$500,F401,$H$2:$H$500,"Trade estimate"))</f>
        <v/>
      </c>
      <c r="M401" s="12" t="str">
        <f aca="false">IF(OR(J401="",J401&lt;2),"",IF(L401=0,"",(K401-L401)/L401))</f>
        <v/>
      </c>
      <c r="N401" s="13" t="str">
        <f aca="false">IF(B401="","",IF(J401&lt;2,"Needs 2+ trade sources",IF(M401&gt;Lists!$E$2,"CHECK","OK")))</f>
        <v/>
      </c>
      <c r="O401" s="9" t="str">
        <f aca="false">IF(B401="","",IF(J401&lt;2,"Needs 2+ trade sources",IF(M401&lt;=Lists!$E$6,"Good",IF(M401&lt;=Lists!$E$2,"Moderate","Bad"))))</f>
        <v/>
      </c>
    </row>
    <row r="402" customFormat="false" ht="14.25" hidden="false" customHeight="true" outlineLevel="0" collapsed="false">
      <c r="A402" s="6"/>
      <c r="B402" s="7"/>
      <c r="C402" s="8"/>
      <c r="D402" s="9" t="str">
        <f aca="false">IF(OR(B402="",C402=""),"",IFERROR(C402-INDEX(Films!$C$2:$C$100,MATCH(B402,Films!$A$2:$A$100,0))+1,""))</f>
        <v/>
      </c>
      <c r="E402" s="10"/>
      <c r="F402" s="7"/>
      <c r="G402" s="7"/>
      <c r="H402" s="7"/>
      <c r="I402" s="7"/>
      <c r="J402" s="9" t="str">
        <f aca="false">IF(B402="","",COUNTIFS($B$2:$B$500,B402,$C$2:$C$500,C402,$F$2:$F$500,F402,$H$2:$H$500,"Trade estimate"))</f>
        <v/>
      </c>
      <c r="K402" s="11" t="str">
        <f aca="false">IF(OR(J402="",J402=0),"",_xlfn.MAXIFS($E$2:$E$500,$B$2:$B$500,B402,$C$2:$C$500,C402,$F$2:$F$500,F402,$H$2:$H$500,"Trade estimate"))</f>
        <v/>
      </c>
      <c r="L402" s="11" t="str">
        <f aca="false">IF(OR(J402="",J402=0),"",_xlfn.MINIFS($E$2:$E$500,$B$2:$B$500,B402,$C$2:$C$500,C402,$F$2:$F$500,F402,$H$2:$H$500,"Trade estimate"))</f>
        <v/>
      </c>
      <c r="M402" s="12" t="str">
        <f aca="false">IF(OR(J402="",J402&lt;2),"",IF(L402=0,"",(K402-L402)/L402))</f>
        <v/>
      </c>
      <c r="N402" s="13" t="str">
        <f aca="false">IF(B402="","",IF(J402&lt;2,"Needs 2+ trade sources",IF(M402&gt;Lists!$E$2,"CHECK","OK")))</f>
        <v/>
      </c>
      <c r="O402" s="9" t="str">
        <f aca="false">IF(B402="","",IF(J402&lt;2,"Needs 2+ trade sources",IF(M402&lt;=Lists!$E$6,"Good",IF(M402&lt;=Lists!$E$2,"Moderate","Bad"))))</f>
        <v/>
      </c>
    </row>
    <row r="403" customFormat="false" ht="14.25" hidden="false" customHeight="true" outlineLevel="0" collapsed="false">
      <c r="A403" s="6"/>
      <c r="B403" s="7"/>
      <c r="C403" s="8"/>
      <c r="D403" s="9" t="str">
        <f aca="false">IF(OR(B403="",C403=""),"",IFERROR(C403-INDEX(Films!$C$2:$C$100,MATCH(B403,Films!$A$2:$A$100,0))+1,""))</f>
        <v/>
      </c>
      <c r="E403" s="10"/>
      <c r="F403" s="7"/>
      <c r="G403" s="7"/>
      <c r="H403" s="7"/>
      <c r="I403" s="7"/>
      <c r="J403" s="9" t="str">
        <f aca="false">IF(B403="","",COUNTIFS($B$2:$B$500,B403,$C$2:$C$500,C403,$F$2:$F$500,F403,$H$2:$H$500,"Trade estimate"))</f>
        <v/>
      </c>
      <c r="K403" s="11" t="str">
        <f aca="false">IF(OR(J403="",J403=0),"",_xlfn.MAXIFS($E$2:$E$500,$B$2:$B$500,B403,$C$2:$C$500,C403,$F$2:$F$500,F403,$H$2:$H$500,"Trade estimate"))</f>
        <v/>
      </c>
      <c r="L403" s="11" t="str">
        <f aca="false">IF(OR(J403="",J403=0),"",_xlfn.MINIFS($E$2:$E$500,$B$2:$B$500,B403,$C$2:$C$500,C403,$F$2:$F$500,F403,$H$2:$H$500,"Trade estimate"))</f>
        <v/>
      </c>
      <c r="M403" s="12" t="str">
        <f aca="false">IF(OR(J403="",J403&lt;2),"",IF(L403=0,"",(K403-L403)/L403))</f>
        <v/>
      </c>
      <c r="N403" s="13" t="str">
        <f aca="false">IF(B403="","",IF(J403&lt;2,"Needs 2+ trade sources",IF(M403&gt;Lists!$E$2,"CHECK","OK")))</f>
        <v/>
      </c>
      <c r="O403" s="9" t="str">
        <f aca="false">IF(B403="","",IF(J403&lt;2,"Needs 2+ trade sources",IF(M403&lt;=Lists!$E$6,"Good",IF(M403&lt;=Lists!$E$2,"Moderate","Bad"))))</f>
        <v/>
      </c>
    </row>
    <row r="404" customFormat="false" ht="14.25" hidden="false" customHeight="true" outlineLevel="0" collapsed="false">
      <c r="A404" s="6"/>
      <c r="B404" s="7"/>
      <c r="C404" s="8"/>
      <c r="D404" s="9" t="str">
        <f aca="false">IF(OR(B404="",C404=""),"",IFERROR(C404-INDEX(Films!$C$2:$C$100,MATCH(B404,Films!$A$2:$A$100,0))+1,""))</f>
        <v/>
      </c>
      <c r="E404" s="10"/>
      <c r="F404" s="7"/>
      <c r="G404" s="7"/>
      <c r="H404" s="7"/>
      <c r="I404" s="7"/>
      <c r="J404" s="9" t="str">
        <f aca="false">IF(B404="","",COUNTIFS($B$2:$B$500,B404,$C$2:$C$500,C404,$F$2:$F$500,F404,$H$2:$H$500,"Trade estimate"))</f>
        <v/>
      </c>
      <c r="K404" s="11" t="str">
        <f aca="false">IF(OR(J404="",J404=0),"",_xlfn.MAXIFS($E$2:$E$500,$B$2:$B$500,B404,$C$2:$C$500,C404,$F$2:$F$500,F404,$H$2:$H$500,"Trade estimate"))</f>
        <v/>
      </c>
      <c r="L404" s="11" t="str">
        <f aca="false">IF(OR(J404="",J404=0),"",_xlfn.MINIFS($E$2:$E$500,$B$2:$B$500,B404,$C$2:$C$500,C404,$F$2:$F$500,F404,$H$2:$H$500,"Trade estimate"))</f>
        <v/>
      </c>
      <c r="M404" s="12" t="str">
        <f aca="false">IF(OR(J404="",J404&lt;2),"",IF(L404=0,"",(K404-L404)/L404))</f>
        <v/>
      </c>
      <c r="N404" s="13" t="str">
        <f aca="false">IF(B404="","",IF(J404&lt;2,"Needs 2+ trade sources",IF(M404&gt;Lists!$E$2,"CHECK","OK")))</f>
        <v/>
      </c>
      <c r="O404" s="9" t="str">
        <f aca="false">IF(B404="","",IF(J404&lt;2,"Needs 2+ trade sources",IF(M404&lt;=Lists!$E$6,"Good",IF(M404&lt;=Lists!$E$2,"Moderate","Bad"))))</f>
        <v/>
      </c>
    </row>
    <row r="405" customFormat="false" ht="14.25" hidden="false" customHeight="true" outlineLevel="0" collapsed="false">
      <c r="A405" s="6"/>
      <c r="B405" s="7"/>
      <c r="C405" s="8"/>
      <c r="D405" s="9" t="str">
        <f aca="false">IF(OR(B405="",C405=""),"",IFERROR(C405-INDEX(Films!$C$2:$C$100,MATCH(B405,Films!$A$2:$A$100,0))+1,""))</f>
        <v/>
      </c>
      <c r="E405" s="10"/>
      <c r="F405" s="7"/>
      <c r="G405" s="7"/>
      <c r="H405" s="7"/>
      <c r="I405" s="7"/>
      <c r="J405" s="9" t="str">
        <f aca="false">IF(B405="","",COUNTIFS($B$2:$B$500,B405,$C$2:$C$500,C405,$F$2:$F$500,F405,$H$2:$H$500,"Trade estimate"))</f>
        <v/>
      </c>
      <c r="K405" s="11" t="str">
        <f aca="false">IF(OR(J405="",J405=0),"",_xlfn.MAXIFS($E$2:$E$500,$B$2:$B$500,B405,$C$2:$C$500,C405,$F$2:$F$500,F405,$H$2:$H$500,"Trade estimate"))</f>
        <v/>
      </c>
      <c r="L405" s="11" t="str">
        <f aca="false">IF(OR(J405="",J405=0),"",_xlfn.MINIFS($E$2:$E$500,$B$2:$B$500,B405,$C$2:$C$500,C405,$F$2:$F$500,F405,$H$2:$H$500,"Trade estimate"))</f>
        <v/>
      </c>
      <c r="M405" s="12" t="str">
        <f aca="false">IF(OR(J405="",J405&lt;2),"",IF(L405=0,"",(K405-L405)/L405))</f>
        <v/>
      </c>
      <c r="N405" s="13" t="str">
        <f aca="false">IF(B405="","",IF(J405&lt;2,"Needs 2+ trade sources",IF(M405&gt;Lists!$E$2,"CHECK","OK")))</f>
        <v/>
      </c>
      <c r="O405" s="9" t="str">
        <f aca="false">IF(B405="","",IF(J405&lt;2,"Needs 2+ trade sources",IF(M405&lt;=Lists!$E$6,"Good",IF(M405&lt;=Lists!$E$2,"Moderate","Bad"))))</f>
        <v/>
      </c>
    </row>
    <row r="406" customFormat="false" ht="14.25" hidden="false" customHeight="true" outlineLevel="0" collapsed="false">
      <c r="A406" s="6"/>
      <c r="B406" s="7"/>
      <c r="C406" s="8"/>
      <c r="D406" s="9" t="str">
        <f aca="false">IF(OR(B406="",C406=""),"",IFERROR(C406-INDEX(Films!$C$2:$C$100,MATCH(B406,Films!$A$2:$A$100,0))+1,""))</f>
        <v/>
      </c>
      <c r="E406" s="10"/>
      <c r="F406" s="7"/>
      <c r="G406" s="7"/>
      <c r="H406" s="7"/>
      <c r="I406" s="7"/>
      <c r="J406" s="9" t="str">
        <f aca="false">IF(B406="","",COUNTIFS($B$2:$B$500,B406,$C$2:$C$500,C406,$F$2:$F$500,F406,$H$2:$H$500,"Trade estimate"))</f>
        <v/>
      </c>
      <c r="K406" s="11" t="str">
        <f aca="false">IF(OR(J406="",J406=0),"",_xlfn.MAXIFS($E$2:$E$500,$B$2:$B$500,B406,$C$2:$C$500,C406,$F$2:$F$500,F406,$H$2:$H$500,"Trade estimate"))</f>
        <v/>
      </c>
      <c r="L406" s="11" t="str">
        <f aca="false">IF(OR(J406="",J406=0),"",_xlfn.MINIFS($E$2:$E$500,$B$2:$B$500,B406,$C$2:$C$500,C406,$F$2:$F$500,F406,$H$2:$H$500,"Trade estimate"))</f>
        <v/>
      </c>
      <c r="M406" s="12" t="str">
        <f aca="false">IF(OR(J406="",J406&lt;2),"",IF(L406=0,"",(K406-L406)/L406))</f>
        <v/>
      </c>
      <c r="N406" s="13" t="str">
        <f aca="false">IF(B406="","",IF(J406&lt;2,"Needs 2+ trade sources",IF(M406&gt;Lists!$E$2,"CHECK","OK")))</f>
        <v/>
      </c>
      <c r="O406" s="9" t="str">
        <f aca="false">IF(B406="","",IF(J406&lt;2,"Needs 2+ trade sources",IF(M406&lt;=Lists!$E$6,"Good",IF(M406&lt;=Lists!$E$2,"Moderate","Bad"))))</f>
        <v/>
      </c>
    </row>
    <row r="407" customFormat="false" ht="14.25" hidden="false" customHeight="true" outlineLevel="0" collapsed="false">
      <c r="A407" s="6"/>
      <c r="B407" s="7"/>
      <c r="C407" s="8"/>
      <c r="D407" s="9" t="str">
        <f aca="false">IF(OR(B407="",C407=""),"",IFERROR(C407-INDEX(Films!$C$2:$C$100,MATCH(B407,Films!$A$2:$A$100,0))+1,""))</f>
        <v/>
      </c>
      <c r="E407" s="10"/>
      <c r="F407" s="7"/>
      <c r="G407" s="7"/>
      <c r="H407" s="7"/>
      <c r="I407" s="7"/>
      <c r="J407" s="9" t="str">
        <f aca="false">IF(B407="","",COUNTIFS($B$2:$B$500,B407,$C$2:$C$500,C407,$F$2:$F$500,F407,$H$2:$H$500,"Trade estimate"))</f>
        <v/>
      </c>
      <c r="K407" s="11" t="str">
        <f aca="false">IF(OR(J407="",J407=0),"",_xlfn.MAXIFS($E$2:$E$500,$B$2:$B$500,B407,$C$2:$C$500,C407,$F$2:$F$500,F407,$H$2:$H$500,"Trade estimate"))</f>
        <v/>
      </c>
      <c r="L407" s="11" t="str">
        <f aca="false">IF(OR(J407="",J407=0),"",_xlfn.MINIFS($E$2:$E$500,$B$2:$B$500,B407,$C$2:$C$500,C407,$F$2:$F$500,F407,$H$2:$H$500,"Trade estimate"))</f>
        <v/>
      </c>
      <c r="M407" s="12" t="str">
        <f aca="false">IF(OR(J407="",J407&lt;2),"",IF(L407=0,"",(K407-L407)/L407))</f>
        <v/>
      </c>
      <c r="N407" s="13" t="str">
        <f aca="false">IF(B407="","",IF(J407&lt;2,"Needs 2+ trade sources",IF(M407&gt;Lists!$E$2,"CHECK","OK")))</f>
        <v/>
      </c>
      <c r="O407" s="9" t="str">
        <f aca="false">IF(B407="","",IF(J407&lt;2,"Needs 2+ trade sources",IF(M407&lt;=Lists!$E$6,"Good",IF(M407&lt;=Lists!$E$2,"Moderate","Bad"))))</f>
        <v/>
      </c>
    </row>
    <row r="408" customFormat="false" ht="14.25" hidden="false" customHeight="true" outlineLevel="0" collapsed="false">
      <c r="A408" s="6"/>
      <c r="B408" s="7"/>
      <c r="C408" s="8"/>
      <c r="D408" s="9" t="str">
        <f aca="false">IF(OR(B408="",C408=""),"",IFERROR(C408-INDEX(Films!$C$2:$C$100,MATCH(B408,Films!$A$2:$A$100,0))+1,""))</f>
        <v/>
      </c>
      <c r="E408" s="10"/>
      <c r="F408" s="7"/>
      <c r="G408" s="7"/>
      <c r="H408" s="7"/>
      <c r="I408" s="7"/>
      <c r="J408" s="9" t="str">
        <f aca="false">IF(B408="","",COUNTIFS($B$2:$B$500,B408,$C$2:$C$500,C408,$F$2:$F$500,F408,$H$2:$H$500,"Trade estimate"))</f>
        <v/>
      </c>
      <c r="K408" s="11" t="str">
        <f aca="false">IF(OR(J408="",J408=0),"",_xlfn.MAXIFS($E$2:$E$500,$B$2:$B$500,B408,$C$2:$C$500,C408,$F$2:$F$500,F408,$H$2:$H$500,"Trade estimate"))</f>
        <v/>
      </c>
      <c r="L408" s="11" t="str">
        <f aca="false">IF(OR(J408="",J408=0),"",_xlfn.MINIFS($E$2:$E$500,$B$2:$B$500,B408,$C$2:$C$500,C408,$F$2:$F$500,F408,$H$2:$H$500,"Trade estimate"))</f>
        <v/>
      </c>
      <c r="M408" s="12" t="str">
        <f aca="false">IF(OR(J408="",J408&lt;2),"",IF(L408=0,"",(K408-L408)/L408))</f>
        <v/>
      </c>
      <c r="N408" s="13" t="str">
        <f aca="false">IF(B408="","",IF(J408&lt;2,"Needs 2+ trade sources",IF(M408&gt;Lists!$E$2,"CHECK","OK")))</f>
        <v/>
      </c>
      <c r="O408" s="9" t="str">
        <f aca="false">IF(B408="","",IF(J408&lt;2,"Needs 2+ trade sources",IF(M408&lt;=Lists!$E$6,"Good",IF(M408&lt;=Lists!$E$2,"Moderate","Bad"))))</f>
        <v/>
      </c>
    </row>
    <row r="409" customFormat="false" ht="14.25" hidden="false" customHeight="true" outlineLevel="0" collapsed="false">
      <c r="A409" s="6"/>
      <c r="B409" s="7"/>
      <c r="C409" s="8"/>
      <c r="D409" s="9" t="str">
        <f aca="false">IF(OR(B409="",C409=""),"",IFERROR(C409-INDEX(Films!$C$2:$C$100,MATCH(B409,Films!$A$2:$A$100,0))+1,""))</f>
        <v/>
      </c>
      <c r="E409" s="10"/>
      <c r="F409" s="7"/>
      <c r="G409" s="7"/>
      <c r="H409" s="7"/>
      <c r="I409" s="7"/>
      <c r="J409" s="9" t="str">
        <f aca="false">IF(B409="","",COUNTIFS($B$2:$B$500,B409,$C$2:$C$500,C409,$F$2:$F$500,F409,$H$2:$H$500,"Trade estimate"))</f>
        <v/>
      </c>
      <c r="K409" s="11" t="str">
        <f aca="false">IF(OR(J409="",J409=0),"",_xlfn.MAXIFS($E$2:$E$500,$B$2:$B$500,B409,$C$2:$C$500,C409,$F$2:$F$500,F409,$H$2:$H$500,"Trade estimate"))</f>
        <v/>
      </c>
      <c r="L409" s="11" t="str">
        <f aca="false">IF(OR(J409="",J409=0),"",_xlfn.MINIFS($E$2:$E$500,$B$2:$B$500,B409,$C$2:$C$500,C409,$F$2:$F$500,F409,$H$2:$H$500,"Trade estimate"))</f>
        <v/>
      </c>
      <c r="M409" s="12" t="str">
        <f aca="false">IF(OR(J409="",J409&lt;2),"",IF(L409=0,"",(K409-L409)/L409))</f>
        <v/>
      </c>
      <c r="N409" s="13" t="str">
        <f aca="false">IF(B409="","",IF(J409&lt;2,"Needs 2+ trade sources",IF(M409&gt;Lists!$E$2,"CHECK","OK")))</f>
        <v/>
      </c>
      <c r="O409" s="9" t="str">
        <f aca="false">IF(B409="","",IF(J409&lt;2,"Needs 2+ trade sources",IF(M409&lt;=Lists!$E$6,"Good",IF(M409&lt;=Lists!$E$2,"Moderate","Bad"))))</f>
        <v/>
      </c>
    </row>
    <row r="410" customFormat="false" ht="14.25" hidden="false" customHeight="true" outlineLevel="0" collapsed="false">
      <c r="A410" s="6"/>
      <c r="B410" s="7"/>
      <c r="C410" s="8"/>
      <c r="D410" s="9" t="str">
        <f aca="false">IF(OR(B410="",C410=""),"",IFERROR(C410-INDEX(Films!$C$2:$C$100,MATCH(B410,Films!$A$2:$A$100,0))+1,""))</f>
        <v/>
      </c>
      <c r="E410" s="10"/>
      <c r="F410" s="7"/>
      <c r="G410" s="7"/>
      <c r="H410" s="7"/>
      <c r="I410" s="7"/>
      <c r="J410" s="9" t="str">
        <f aca="false">IF(B410="","",COUNTIFS($B$2:$B$500,B410,$C$2:$C$500,C410,$F$2:$F$500,F410,$H$2:$H$500,"Trade estimate"))</f>
        <v/>
      </c>
      <c r="K410" s="11" t="str">
        <f aca="false">IF(OR(J410="",J410=0),"",_xlfn.MAXIFS($E$2:$E$500,$B$2:$B$500,B410,$C$2:$C$500,C410,$F$2:$F$500,F410,$H$2:$H$500,"Trade estimate"))</f>
        <v/>
      </c>
      <c r="L410" s="11" t="str">
        <f aca="false">IF(OR(J410="",J410=0),"",_xlfn.MINIFS($E$2:$E$500,$B$2:$B$500,B410,$C$2:$C$500,C410,$F$2:$F$500,F410,$H$2:$H$500,"Trade estimate"))</f>
        <v/>
      </c>
      <c r="M410" s="12" t="str">
        <f aca="false">IF(OR(J410="",J410&lt;2),"",IF(L410=0,"",(K410-L410)/L410))</f>
        <v/>
      </c>
      <c r="N410" s="13" t="str">
        <f aca="false">IF(B410="","",IF(J410&lt;2,"Needs 2+ trade sources",IF(M410&gt;Lists!$E$2,"CHECK","OK")))</f>
        <v/>
      </c>
      <c r="O410" s="9" t="str">
        <f aca="false">IF(B410="","",IF(J410&lt;2,"Needs 2+ trade sources",IF(M410&lt;=Lists!$E$6,"Good",IF(M410&lt;=Lists!$E$2,"Moderate","Bad"))))</f>
        <v/>
      </c>
    </row>
    <row r="411" customFormat="false" ht="14.25" hidden="false" customHeight="true" outlineLevel="0" collapsed="false">
      <c r="A411" s="6"/>
      <c r="B411" s="7"/>
      <c r="C411" s="8"/>
      <c r="D411" s="9" t="str">
        <f aca="false">IF(OR(B411="",C411=""),"",IFERROR(C411-INDEX(Films!$C$2:$C$100,MATCH(B411,Films!$A$2:$A$100,0))+1,""))</f>
        <v/>
      </c>
      <c r="E411" s="10"/>
      <c r="F411" s="7"/>
      <c r="G411" s="7"/>
      <c r="H411" s="7"/>
      <c r="I411" s="7"/>
      <c r="J411" s="9" t="str">
        <f aca="false">IF(B411="","",COUNTIFS($B$2:$B$500,B411,$C$2:$C$500,C411,$F$2:$F$500,F411,$H$2:$H$500,"Trade estimate"))</f>
        <v/>
      </c>
      <c r="K411" s="11" t="str">
        <f aca="false">IF(OR(J411="",J411=0),"",_xlfn.MAXIFS($E$2:$E$500,$B$2:$B$500,B411,$C$2:$C$500,C411,$F$2:$F$500,F411,$H$2:$H$500,"Trade estimate"))</f>
        <v/>
      </c>
      <c r="L411" s="11" t="str">
        <f aca="false">IF(OR(J411="",J411=0),"",_xlfn.MINIFS($E$2:$E$500,$B$2:$B$500,B411,$C$2:$C$500,C411,$F$2:$F$500,F411,$H$2:$H$500,"Trade estimate"))</f>
        <v/>
      </c>
      <c r="M411" s="12" t="str">
        <f aca="false">IF(OR(J411="",J411&lt;2),"",IF(L411=0,"",(K411-L411)/L411))</f>
        <v/>
      </c>
      <c r="N411" s="13" t="str">
        <f aca="false">IF(B411="","",IF(J411&lt;2,"Needs 2+ trade sources",IF(M411&gt;Lists!$E$2,"CHECK","OK")))</f>
        <v/>
      </c>
      <c r="O411" s="9" t="str">
        <f aca="false">IF(B411="","",IF(J411&lt;2,"Needs 2+ trade sources",IF(M411&lt;=Lists!$E$6,"Good",IF(M411&lt;=Lists!$E$2,"Moderate","Bad"))))</f>
        <v/>
      </c>
    </row>
    <row r="412" customFormat="false" ht="14.25" hidden="false" customHeight="true" outlineLevel="0" collapsed="false">
      <c r="A412" s="6"/>
      <c r="B412" s="7"/>
      <c r="C412" s="8"/>
      <c r="D412" s="9" t="str">
        <f aca="false">IF(OR(B412="",C412=""),"",IFERROR(C412-INDEX(Films!$C$2:$C$100,MATCH(B412,Films!$A$2:$A$100,0))+1,""))</f>
        <v/>
      </c>
      <c r="E412" s="10"/>
      <c r="F412" s="7"/>
      <c r="G412" s="7"/>
      <c r="H412" s="7"/>
      <c r="I412" s="7"/>
      <c r="J412" s="9" t="str">
        <f aca="false">IF(B412="","",COUNTIFS($B$2:$B$500,B412,$C$2:$C$500,C412,$F$2:$F$500,F412,$H$2:$H$500,"Trade estimate"))</f>
        <v/>
      </c>
      <c r="K412" s="11" t="str">
        <f aca="false">IF(OR(J412="",J412=0),"",_xlfn.MAXIFS($E$2:$E$500,$B$2:$B$500,B412,$C$2:$C$500,C412,$F$2:$F$500,F412,$H$2:$H$500,"Trade estimate"))</f>
        <v/>
      </c>
      <c r="L412" s="11" t="str">
        <f aca="false">IF(OR(J412="",J412=0),"",_xlfn.MINIFS($E$2:$E$500,$B$2:$B$500,B412,$C$2:$C$500,C412,$F$2:$F$500,F412,$H$2:$H$500,"Trade estimate"))</f>
        <v/>
      </c>
      <c r="M412" s="12" t="str">
        <f aca="false">IF(OR(J412="",J412&lt;2),"",IF(L412=0,"",(K412-L412)/L412))</f>
        <v/>
      </c>
      <c r="N412" s="13" t="str">
        <f aca="false">IF(B412="","",IF(J412&lt;2,"Needs 2+ trade sources",IF(M412&gt;Lists!$E$2,"CHECK","OK")))</f>
        <v/>
      </c>
      <c r="O412" s="9" t="str">
        <f aca="false">IF(B412="","",IF(J412&lt;2,"Needs 2+ trade sources",IF(M412&lt;=Lists!$E$6,"Good",IF(M412&lt;=Lists!$E$2,"Moderate","Bad"))))</f>
        <v/>
      </c>
    </row>
    <row r="413" customFormat="false" ht="14.25" hidden="false" customHeight="true" outlineLevel="0" collapsed="false">
      <c r="A413" s="6"/>
      <c r="B413" s="7"/>
      <c r="C413" s="8"/>
      <c r="D413" s="9" t="str">
        <f aca="false">IF(OR(B413="",C413=""),"",IFERROR(C413-INDEX(Films!$C$2:$C$100,MATCH(B413,Films!$A$2:$A$100,0))+1,""))</f>
        <v/>
      </c>
      <c r="E413" s="10"/>
      <c r="F413" s="7"/>
      <c r="G413" s="7"/>
      <c r="H413" s="7"/>
      <c r="I413" s="7"/>
      <c r="J413" s="9" t="str">
        <f aca="false">IF(B413="","",COUNTIFS($B$2:$B$500,B413,$C$2:$C$500,C413,$F$2:$F$500,F413,$H$2:$H$500,"Trade estimate"))</f>
        <v/>
      </c>
      <c r="K413" s="11" t="str">
        <f aca="false">IF(OR(J413="",J413=0),"",_xlfn.MAXIFS($E$2:$E$500,$B$2:$B$500,B413,$C$2:$C$500,C413,$F$2:$F$500,F413,$H$2:$H$500,"Trade estimate"))</f>
        <v/>
      </c>
      <c r="L413" s="11" t="str">
        <f aca="false">IF(OR(J413="",J413=0),"",_xlfn.MINIFS($E$2:$E$500,$B$2:$B$500,B413,$C$2:$C$500,C413,$F$2:$F$500,F413,$H$2:$H$500,"Trade estimate"))</f>
        <v/>
      </c>
      <c r="M413" s="12" t="str">
        <f aca="false">IF(OR(J413="",J413&lt;2),"",IF(L413=0,"",(K413-L413)/L413))</f>
        <v/>
      </c>
      <c r="N413" s="13" t="str">
        <f aca="false">IF(B413="","",IF(J413&lt;2,"Needs 2+ trade sources",IF(M413&gt;Lists!$E$2,"CHECK","OK")))</f>
        <v/>
      </c>
      <c r="O413" s="9" t="str">
        <f aca="false">IF(B413="","",IF(J413&lt;2,"Needs 2+ trade sources",IF(M413&lt;=Lists!$E$6,"Good",IF(M413&lt;=Lists!$E$2,"Moderate","Bad"))))</f>
        <v/>
      </c>
    </row>
    <row r="414" customFormat="false" ht="14.25" hidden="false" customHeight="true" outlineLevel="0" collapsed="false">
      <c r="A414" s="6"/>
      <c r="B414" s="7"/>
      <c r="C414" s="8"/>
      <c r="D414" s="9" t="str">
        <f aca="false">IF(OR(B414="",C414=""),"",IFERROR(C414-INDEX(Films!$C$2:$C$100,MATCH(B414,Films!$A$2:$A$100,0))+1,""))</f>
        <v/>
      </c>
      <c r="E414" s="10"/>
      <c r="F414" s="7"/>
      <c r="G414" s="7"/>
      <c r="H414" s="7"/>
      <c r="I414" s="7"/>
      <c r="J414" s="9" t="str">
        <f aca="false">IF(B414="","",COUNTIFS($B$2:$B$500,B414,$C$2:$C$500,C414,$F$2:$F$500,F414,$H$2:$H$500,"Trade estimate"))</f>
        <v/>
      </c>
      <c r="K414" s="11" t="str">
        <f aca="false">IF(OR(J414="",J414=0),"",_xlfn.MAXIFS($E$2:$E$500,$B$2:$B$500,B414,$C$2:$C$500,C414,$F$2:$F$500,F414,$H$2:$H$500,"Trade estimate"))</f>
        <v/>
      </c>
      <c r="L414" s="11" t="str">
        <f aca="false">IF(OR(J414="",J414=0),"",_xlfn.MINIFS($E$2:$E$500,$B$2:$B$500,B414,$C$2:$C$500,C414,$F$2:$F$500,F414,$H$2:$H$500,"Trade estimate"))</f>
        <v/>
      </c>
      <c r="M414" s="12" t="str">
        <f aca="false">IF(OR(J414="",J414&lt;2),"",IF(L414=0,"",(K414-L414)/L414))</f>
        <v/>
      </c>
      <c r="N414" s="13" t="str">
        <f aca="false">IF(B414="","",IF(J414&lt;2,"Needs 2+ trade sources",IF(M414&gt;Lists!$E$2,"CHECK","OK")))</f>
        <v/>
      </c>
      <c r="O414" s="9" t="str">
        <f aca="false">IF(B414="","",IF(J414&lt;2,"Needs 2+ trade sources",IF(M414&lt;=Lists!$E$6,"Good",IF(M414&lt;=Lists!$E$2,"Moderate","Bad"))))</f>
        <v/>
      </c>
    </row>
    <row r="415" customFormat="false" ht="14.25" hidden="false" customHeight="true" outlineLevel="0" collapsed="false">
      <c r="A415" s="6"/>
      <c r="B415" s="7"/>
      <c r="C415" s="8"/>
      <c r="D415" s="9" t="str">
        <f aca="false">IF(OR(B415="",C415=""),"",IFERROR(C415-INDEX(Films!$C$2:$C$100,MATCH(B415,Films!$A$2:$A$100,0))+1,""))</f>
        <v/>
      </c>
      <c r="E415" s="10"/>
      <c r="F415" s="7"/>
      <c r="G415" s="7"/>
      <c r="H415" s="7"/>
      <c r="I415" s="7"/>
      <c r="J415" s="9" t="str">
        <f aca="false">IF(B415="","",COUNTIFS($B$2:$B$500,B415,$C$2:$C$500,C415,$F$2:$F$500,F415,$H$2:$H$500,"Trade estimate"))</f>
        <v/>
      </c>
      <c r="K415" s="11" t="str">
        <f aca="false">IF(OR(J415="",J415=0),"",_xlfn.MAXIFS($E$2:$E$500,$B$2:$B$500,B415,$C$2:$C$500,C415,$F$2:$F$500,F415,$H$2:$H$500,"Trade estimate"))</f>
        <v/>
      </c>
      <c r="L415" s="11" t="str">
        <f aca="false">IF(OR(J415="",J415=0),"",_xlfn.MINIFS($E$2:$E$500,$B$2:$B$500,B415,$C$2:$C$500,C415,$F$2:$F$500,F415,$H$2:$H$500,"Trade estimate"))</f>
        <v/>
      </c>
      <c r="M415" s="12" t="str">
        <f aca="false">IF(OR(J415="",J415&lt;2),"",IF(L415=0,"",(K415-L415)/L415))</f>
        <v/>
      </c>
      <c r="N415" s="13" t="str">
        <f aca="false">IF(B415="","",IF(J415&lt;2,"Needs 2+ trade sources",IF(M415&gt;Lists!$E$2,"CHECK","OK")))</f>
        <v/>
      </c>
      <c r="O415" s="9" t="str">
        <f aca="false">IF(B415="","",IF(J415&lt;2,"Needs 2+ trade sources",IF(M415&lt;=Lists!$E$6,"Good",IF(M415&lt;=Lists!$E$2,"Moderate","Bad"))))</f>
        <v/>
      </c>
    </row>
    <row r="416" customFormat="false" ht="14.25" hidden="false" customHeight="true" outlineLevel="0" collapsed="false">
      <c r="A416" s="6"/>
      <c r="B416" s="7"/>
      <c r="C416" s="8"/>
      <c r="D416" s="9" t="str">
        <f aca="false">IF(OR(B416="",C416=""),"",IFERROR(C416-INDEX(Films!$C$2:$C$100,MATCH(B416,Films!$A$2:$A$100,0))+1,""))</f>
        <v/>
      </c>
      <c r="E416" s="10"/>
      <c r="F416" s="7"/>
      <c r="G416" s="7"/>
      <c r="H416" s="7"/>
      <c r="I416" s="7"/>
      <c r="J416" s="9" t="str">
        <f aca="false">IF(B416="","",COUNTIFS($B$2:$B$500,B416,$C$2:$C$500,C416,$F$2:$F$500,F416,$H$2:$H$500,"Trade estimate"))</f>
        <v/>
      </c>
      <c r="K416" s="11" t="str">
        <f aca="false">IF(OR(J416="",J416=0),"",_xlfn.MAXIFS($E$2:$E$500,$B$2:$B$500,B416,$C$2:$C$500,C416,$F$2:$F$500,F416,$H$2:$H$500,"Trade estimate"))</f>
        <v/>
      </c>
      <c r="L416" s="11" t="str">
        <f aca="false">IF(OR(J416="",J416=0),"",_xlfn.MINIFS($E$2:$E$500,$B$2:$B$500,B416,$C$2:$C$500,C416,$F$2:$F$500,F416,$H$2:$H$500,"Trade estimate"))</f>
        <v/>
      </c>
      <c r="M416" s="12" t="str">
        <f aca="false">IF(OR(J416="",J416&lt;2),"",IF(L416=0,"",(K416-L416)/L416))</f>
        <v/>
      </c>
      <c r="N416" s="13" t="str">
        <f aca="false">IF(B416="","",IF(J416&lt;2,"Needs 2+ trade sources",IF(M416&gt;Lists!$E$2,"CHECK","OK")))</f>
        <v/>
      </c>
      <c r="O416" s="9" t="str">
        <f aca="false">IF(B416="","",IF(J416&lt;2,"Needs 2+ trade sources",IF(M416&lt;=Lists!$E$6,"Good",IF(M416&lt;=Lists!$E$2,"Moderate","Bad"))))</f>
        <v/>
      </c>
    </row>
    <row r="417" customFormat="false" ht="14.25" hidden="false" customHeight="true" outlineLevel="0" collapsed="false">
      <c r="A417" s="6"/>
      <c r="B417" s="7"/>
      <c r="C417" s="8"/>
      <c r="D417" s="9" t="str">
        <f aca="false">IF(OR(B417="",C417=""),"",IFERROR(C417-INDEX(Films!$C$2:$C$100,MATCH(B417,Films!$A$2:$A$100,0))+1,""))</f>
        <v/>
      </c>
      <c r="E417" s="10"/>
      <c r="F417" s="7"/>
      <c r="G417" s="7"/>
      <c r="H417" s="7"/>
      <c r="I417" s="7"/>
      <c r="J417" s="9" t="str">
        <f aca="false">IF(B417="","",COUNTIFS($B$2:$B$500,B417,$C$2:$C$500,C417,$F$2:$F$500,F417,$H$2:$H$500,"Trade estimate"))</f>
        <v/>
      </c>
      <c r="K417" s="11" t="str">
        <f aca="false">IF(OR(J417="",J417=0),"",_xlfn.MAXIFS($E$2:$E$500,$B$2:$B$500,B417,$C$2:$C$500,C417,$F$2:$F$500,F417,$H$2:$H$500,"Trade estimate"))</f>
        <v/>
      </c>
      <c r="L417" s="11" t="str">
        <f aca="false">IF(OR(J417="",J417=0),"",_xlfn.MINIFS($E$2:$E$500,$B$2:$B$500,B417,$C$2:$C$500,C417,$F$2:$F$500,F417,$H$2:$H$500,"Trade estimate"))</f>
        <v/>
      </c>
      <c r="M417" s="12" t="str">
        <f aca="false">IF(OR(J417="",J417&lt;2),"",IF(L417=0,"",(K417-L417)/L417))</f>
        <v/>
      </c>
      <c r="N417" s="13" t="str">
        <f aca="false">IF(B417="","",IF(J417&lt;2,"Needs 2+ trade sources",IF(M417&gt;Lists!$E$2,"CHECK","OK")))</f>
        <v/>
      </c>
      <c r="O417" s="9" t="str">
        <f aca="false">IF(B417="","",IF(J417&lt;2,"Needs 2+ trade sources",IF(M417&lt;=Lists!$E$6,"Good",IF(M417&lt;=Lists!$E$2,"Moderate","Bad"))))</f>
        <v/>
      </c>
    </row>
    <row r="418" customFormat="false" ht="14.25" hidden="false" customHeight="true" outlineLevel="0" collapsed="false">
      <c r="A418" s="6"/>
      <c r="B418" s="7"/>
      <c r="C418" s="8"/>
      <c r="D418" s="9" t="str">
        <f aca="false">IF(OR(B418="",C418=""),"",IFERROR(C418-INDEX(Films!$C$2:$C$100,MATCH(B418,Films!$A$2:$A$100,0))+1,""))</f>
        <v/>
      </c>
      <c r="E418" s="10"/>
      <c r="F418" s="7"/>
      <c r="G418" s="7"/>
      <c r="H418" s="7"/>
      <c r="I418" s="7"/>
      <c r="J418" s="9" t="str">
        <f aca="false">IF(B418="","",COUNTIFS($B$2:$B$500,B418,$C$2:$C$500,C418,$F$2:$F$500,F418,$H$2:$H$500,"Trade estimate"))</f>
        <v/>
      </c>
      <c r="K418" s="11" t="str">
        <f aca="false">IF(OR(J418="",J418=0),"",_xlfn.MAXIFS($E$2:$E$500,$B$2:$B$500,B418,$C$2:$C$500,C418,$F$2:$F$500,F418,$H$2:$H$500,"Trade estimate"))</f>
        <v/>
      </c>
      <c r="L418" s="11" t="str">
        <f aca="false">IF(OR(J418="",J418=0),"",_xlfn.MINIFS($E$2:$E$500,$B$2:$B$500,B418,$C$2:$C$500,C418,$F$2:$F$500,F418,$H$2:$H$500,"Trade estimate"))</f>
        <v/>
      </c>
      <c r="M418" s="12" t="str">
        <f aca="false">IF(OR(J418="",J418&lt;2),"",IF(L418=0,"",(K418-L418)/L418))</f>
        <v/>
      </c>
      <c r="N418" s="13" t="str">
        <f aca="false">IF(B418="","",IF(J418&lt;2,"Needs 2+ trade sources",IF(M418&gt;Lists!$E$2,"CHECK","OK")))</f>
        <v/>
      </c>
      <c r="O418" s="9" t="str">
        <f aca="false">IF(B418="","",IF(J418&lt;2,"Needs 2+ trade sources",IF(M418&lt;=Lists!$E$6,"Good",IF(M418&lt;=Lists!$E$2,"Moderate","Bad"))))</f>
        <v/>
      </c>
    </row>
    <row r="419" customFormat="false" ht="14.25" hidden="false" customHeight="true" outlineLevel="0" collapsed="false">
      <c r="A419" s="6"/>
      <c r="B419" s="7"/>
      <c r="C419" s="8"/>
      <c r="D419" s="9" t="str">
        <f aca="false">IF(OR(B419="",C419=""),"",IFERROR(C419-INDEX(Films!$C$2:$C$100,MATCH(B419,Films!$A$2:$A$100,0))+1,""))</f>
        <v/>
      </c>
      <c r="E419" s="10"/>
      <c r="F419" s="7"/>
      <c r="G419" s="7"/>
      <c r="H419" s="7"/>
      <c r="I419" s="7"/>
      <c r="J419" s="9" t="str">
        <f aca="false">IF(B419="","",COUNTIFS($B$2:$B$500,B419,$C$2:$C$500,C419,$F$2:$F$500,F419,$H$2:$H$500,"Trade estimate"))</f>
        <v/>
      </c>
      <c r="K419" s="11" t="str">
        <f aca="false">IF(OR(J419="",J419=0),"",_xlfn.MAXIFS($E$2:$E$500,$B$2:$B$500,B419,$C$2:$C$500,C419,$F$2:$F$500,F419,$H$2:$H$500,"Trade estimate"))</f>
        <v/>
      </c>
      <c r="L419" s="11" t="str">
        <f aca="false">IF(OR(J419="",J419=0),"",_xlfn.MINIFS($E$2:$E$500,$B$2:$B$500,B419,$C$2:$C$500,C419,$F$2:$F$500,F419,$H$2:$H$500,"Trade estimate"))</f>
        <v/>
      </c>
      <c r="M419" s="12" t="str">
        <f aca="false">IF(OR(J419="",J419&lt;2),"",IF(L419=0,"",(K419-L419)/L419))</f>
        <v/>
      </c>
      <c r="N419" s="13" t="str">
        <f aca="false">IF(B419="","",IF(J419&lt;2,"Needs 2+ trade sources",IF(M419&gt;Lists!$E$2,"CHECK","OK")))</f>
        <v/>
      </c>
      <c r="O419" s="9" t="str">
        <f aca="false">IF(B419="","",IF(J419&lt;2,"Needs 2+ trade sources",IF(M419&lt;=Lists!$E$6,"Good",IF(M419&lt;=Lists!$E$2,"Moderate","Bad"))))</f>
        <v/>
      </c>
    </row>
    <row r="420" customFormat="false" ht="14.25" hidden="false" customHeight="true" outlineLevel="0" collapsed="false">
      <c r="A420" s="6"/>
      <c r="B420" s="7"/>
      <c r="C420" s="8"/>
      <c r="D420" s="9" t="str">
        <f aca="false">IF(OR(B420="",C420=""),"",IFERROR(C420-INDEX(Films!$C$2:$C$100,MATCH(B420,Films!$A$2:$A$100,0))+1,""))</f>
        <v/>
      </c>
      <c r="E420" s="10"/>
      <c r="F420" s="7"/>
      <c r="G420" s="7"/>
      <c r="H420" s="7"/>
      <c r="I420" s="7"/>
      <c r="J420" s="9" t="str">
        <f aca="false">IF(B420="","",COUNTIFS($B$2:$B$500,B420,$C$2:$C$500,C420,$F$2:$F$500,F420,$H$2:$H$500,"Trade estimate"))</f>
        <v/>
      </c>
      <c r="K420" s="11" t="str">
        <f aca="false">IF(OR(J420="",J420=0),"",_xlfn.MAXIFS($E$2:$E$500,$B$2:$B$500,B420,$C$2:$C$500,C420,$F$2:$F$500,F420,$H$2:$H$500,"Trade estimate"))</f>
        <v/>
      </c>
      <c r="L420" s="11" t="str">
        <f aca="false">IF(OR(J420="",J420=0),"",_xlfn.MINIFS($E$2:$E$500,$B$2:$B$500,B420,$C$2:$C$500,C420,$F$2:$F$500,F420,$H$2:$H$500,"Trade estimate"))</f>
        <v/>
      </c>
      <c r="M420" s="12" t="str">
        <f aca="false">IF(OR(J420="",J420&lt;2),"",IF(L420=0,"",(K420-L420)/L420))</f>
        <v/>
      </c>
      <c r="N420" s="13" t="str">
        <f aca="false">IF(B420="","",IF(J420&lt;2,"Needs 2+ trade sources",IF(M420&gt;Lists!$E$2,"CHECK","OK")))</f>
        <v/>
      </c>
      <c r="O420" s="9" t="str">
        <f aca="false">IF(B420="","",IF(J420&lt;2,"Needs 2+ trade sources",IF(M420&lt;=Lists!$E$6,"Good",IF(M420&lt;=Lists!$E$2,"Moderate","Bad"))))</f>
        <v/>
      </c>
    </row>
    <row r="421" customFormat="false" ht="14.25" hidden="false" customHeight="true" outlineLevel="0" collapsed="false">
      <c r="A421" s="6"/>
      <c r="B421" s="7"/>
      <c r="C421" s="8"/>
      <c r="D421" s="9" t="str">
        <f aca="false">IF(OR(B421="",C421=""),"",IFERROR(C421-INDEX(Films!$C$2:$C$100,MATCH(B421,Films!$A$2:$A$100,0))+1,""))</f>
        <v/>
      </c>
      <c r="E421" s="10"/>
      <c r="F421" s="7"/>
      <c r="G421" s="7"/>
      <c r="H421" s="7"/>
      <c r="I421" s="7"/>
      <c r="J421" s="9" t="str">
        <f aca="false">IF(B421="","",COUNTIFS($B$2:$B$500,B421,$C$2:$C$500,C421,$F$2:$F$500,F421,$H$2:$H$500,"Trade estimate"))</f>
        <v/>
      </c>
      <c r="K421" s="11" t="str">
        <f aca="false">IF(OR(J421="",J421=0),"",_xlfn.MAXIFS($E$2:$E$500,$B$2:$B$500,B421,$C$2:$C$500,C421,$F$2:$F$500,F421,$H$2:$H$500,"Trade estimate"))</f>
        <v/>
      </c>
      <c r="L421" s="11" t="str">
        <f aca="false">IF(OR(J421="",J421=0),"",_xlfn.MINIFS($E$2:$E$500,$B$2:$B$500,B421,$C$2:$C$500,C421,$F$2:$F$500,F421,$H$2:$H$500,"Trade estimate"))</f>
        <v/>
      </c>
      <c r="M421" s="12" t="str">
        <f aca="false">IF(OR(J421="",J421&lt;2),"",IF(L421=0,"",(K421-L421)/L421))</f>
        <v/>
      </c>
      <c r="N421" s="13" t="str">
        <f aca="false">IF(B421="","",IF(J421&lt;2,"Needs 2+ trade sources",IF(M421&gt;Lists!$E$2,"CHECK","OK")))</f>
        <v/>
      </c>
      <c r="O421" s="9" t="str">
        <f aca="false">IF(B421="","",IF(J421&lt;2,"Needs 2+ trade sources",IF(M421&lt;=Lists!$E$6,"Good",IF(M421&lt;=Lists!$E$2,"Moderate","Bad"))))</f>
        <v/>
      </c>
    </row>
    <row r="422" customFormat="false" ht="14.25" hidden="false" customHeight="true" outlineLevel="0" collapsed="false">
      <c r="A422" s="6"/>
      <c r="B422" s="7"/>
      <c r="C422" s="8"/>
      <c r="D422" s="9" t="str">
        <f aca="false">IF(OR(B422="",C422=""),"",IFERROR(C422-INDEX(Films!$C$2:$C$100,MATCH(B422,Films!$A$2:$A$100,0))+1,""))</f>
        <v/>
      </c>
      <c r="E422" s="10"/>
      <c r="F422" s="7"/>
      <c r="G422" s="7"/>
      <c r="H422" s="7"/>
      <c r="I422" s="7"/>
      <c r="J422" s="9" t="str">
        <f aca="false">IF(B422="","",COUNTIFS($B$2:$B$500,B422,$C$2:$C$500,C422,$F$2:$F$500,F422,$H$2:$H$500,"Trade estimate"))</f>
        <v/>
      </c>
      <c r="K422" s="11" t="str">
        <f aca="false">IF(OR(J422="",J422=0),"",_xlfn.MAXIFS($E$2:$E$500,$B$2:$B$500,B422,$C$2:$C$500,C422,$F$2:$F$500,F422,$H$2:$H$500,"Trade estimate"))</f>
        <v/>
      </c>
      <c r="L422" s="11" t="str">
        <f aca="false">IF(OR(J422="",J422=0),"",_xlfn.MINIFS($E$2:$E$500,$B$2:$B$500,B422,$C$2:$C$500,C422,$F$2:$F$500,F422,$H$2:$H$500,"Trade estimate"))</f>
        <v/>
      </c>
      <c r="M422" s="12" t="str">
        <f aca="false">IF(OR(J422="",J422&lt;2),"",IF(L422=0,"",(K422-L422)/L422))</f>
        <v/>
      </c>
      <c r="N422" s="13" t="str">
        <f aca="false">IF(B422="","",IF(J422&lt;2,"Needs 2+ trade sources",IF(M422&gt;Lists!$E$2,"CHECK","OK")))</f>
        <v/>
      </c>
      <c r="O422" s="9" t="str">
        <f aca="false">IF(B422="","",IF(J422&lt;2,"Needs 2+ trade sources",IF(M422&lt;=Lists!$E$6,"Good",IF(M422&lt;=Lists!$E$2,"Moderate","Bad"))))</f>
        <v/>
      </c>
    </row>
    <row r="423" customFormat="false" ht="14.25" hidden="false" customHeight="true" outlineLevel="0" collapsed="false">
      <c r="A423" s="6"/>
      <c r="B423" s="7"/>
      <c r="C423" s="8"/>
      <c r="D423" s="9" t="str">
        <f aca="false">IF(OR(B423="",C423=""),"",IFERROR(C423-INDEX(Films!$C$2:$C$100,MATCH(B423,Films!$A$2:$A$100,0))+1,""))</f>
        <v/>
      </c>
      <c r="E423" s="10"/>
      <c r="F423" s="7"/>
      <c r="G423" s="7"/>
      <c r="H423" s="7"/>
      <c r="I423" s="7"/>
      <c r="J423" s="9" t="str">
        <f aca="false">IF(B423="","",COUNTIFS($B$2:$B$500,B423,$C$2:$C$500,C423,$F$2:$F$500,F423,$H$2:$H$500,"Trade estimate"))</f>
        <v/>
      </c>
      <c r="K423" s="11" t="str">
        <f aca="false">IF(OR(J423="",J423=0),"",_xlfn.MAXIFS($E$2:$E$500,$B$2:$B$500,B423,$C$2:$C$500,C423,$F$2:$F$500,F423,$H$2:$H$500,"Trade estimate"))</f>
        <v/>
      </c>
      <c r="L423" s="11" t="str">
        <f aca="false">IF(OR(J423="",J423=0),"",_xlfn.MINIFS($E$2:$E$500,$B$2:$B$500,B423,$C$2:$C$500,C423,$F$2:$F$500,F423,$H$2:$H$500,"Trade estimate"))</f>
        <v/>
      </c>
      <c r="M423" s="12" t="str">
        <f aca="false">IF(OR(J423="",J423&lt;2),"",IF(L423=0,"",(K423-L423)/L423))</f>
        <v/>
      </c>
      <c r="N423" s="13" t="str">
        <f aca="false">IF(B423="","",IF(J423&lt;2,"Needs 2+ trade sources",IF(M423&gt;Lists!$E$2,"CHECK","OK")))</f>
        <v/>
      </c>
      <c r="O423" s="9" t="str">
        <f aca="false">IF(B423="","",IF(J423&lt;2,"Needs 2+ trade sources",IF(M423&lt;=Lists!$E$6,"Good",IF(M423&lt;=Lists!$E$2,"Moderate","Bad"))))</f>
        <v/>
      </c>
    </row>
    <row r="424" customFormat="false" ht="14.25" hidden="false" customHeight="true" outlineLevel="0" collapsed="false">
      <c r="A424" s="6"/>
      <c r="B424" s="7"/>
      <c r="C424" s="8"/>
      <c r="D424" s="9" t="str">
        <f aca="false">IF(OR(B424="",C424=""),"",IFERROR(C424-INDEX(Films!$C$2:$C$100,MATCH(B424,Films!$A$2:$A$100,0))+1,""))</f>
        <v/>
      </c>
      <c r="E424" s="10"/>
      <c r="F424" s="7"/>
      <c r="G424" s="7"/>
      <c r="H424" s="7"/>
      <c r="I424" s="7"/>
      <c r="J424" s="9" t="str">
        <f aca="false">IF(B424="","",COUNTIFS($B$2:$B$500,B424,$C$2:$C$500,C424,$F$2:$F$500,F424,$H$2:$H$500,"Trade estimate"))</f>
        <v/>
      </c>
      <c r="K424" s="11" t="str">
        <f aca="false">IF(OR(J424="",J424=0),"",_xlfn.MAXIFS($E$2:$E$500,$B$2:$B$500,B424,$C$2:$C$500,C424,$F$2:$F$500,F424,$H$2:$H$500,"Trade estimate"))</f>
        <v/>
      </c>
      <c r="L424" s="11" t="str">
        <f aca="false">IF(OR(J424="",J424=0),"",_xlfn.MINIFS($E$2:$E$500,$B$2:$B$500,B424,$C$2:$C$500,C424,$F$2:$F$500,F424,$H$2:$H$500,"Trade estimate"))</f>
        <v/>
      </c>
      <c r="M424" s="12" t="str">
        <f aca="false">IF(OR(J424="",J424&lt;2),"",IF(L424=0,"",(K424-L424)/L424))</f>
        <v/>
      </c>
      <c r="N424" s="13" t="str">
        <f aca="false">IF(B424="","",IF(J424&lt;2,"Needs 2+ trade sources",IF(M424&gt;Lists!$E$2,"CHECK","OK")))</f>
        <v/>
      </c>
      <c r="O424" s="9" t="str">
        <f aca="false">IF(B424="","",IF(J424&lt;2,"Needs 2+ trade sources",IF(M424&lt;=Lists!$E$6,"Good",IF(M424&lt;=Lists!$E$2,"Moderate","Bad"))))</f>
        <v/>
      </c>
    </row>
    <row r="425" customFormat="false" ht="14.25" hidden="false" customHeight="true" outlineLevel="0" collapsed="false">
      <c r="A425" s="6"/>
      <c r="B425" s="7"/>
      <c r="C425" s="8"/>
      <c r="D425" s="9" t="str">
        <f aca="false">IF(OR(B425="",C425=""),"",IFERROR(C425-INDEX(Films!$C$2:$C$100,MATCH(B425,Films!$A$2:$A$100,0))+1,""))</f>
        <v/>
      </c>
      <c r="E425" s="10"/>
      <c r="F425" s="7"/>
      <c r="G425" s="7"/>
      <c r="H425" s="7"/>
      <c r="I425" s="7"/>
      <c r="J425" s="9" t="str">
        <f aca="false">IF(B425="","",COUNTIFS($B$2:$B$500,B425,$C$2:$C$500,C425,$F$2:$F$500,F425,$H$2:$H$500,"Trade estimate"))</f>
        <v/>
      </c>
      <c r="K425" s="11" t="str">
        <f aca="false">IF(OR(J425="",J425=0),"",_xlfn.MAXIFS($E$2:$E$500,$B$2:$B$500,B425,$C$2:$C$500,C425,$F$2:$F$500,F425,$H$2:$H$500,"Trade estimate"))</f>
        <v/>
      </c>
      <c r="L425" s="11" t="str">
        <f aca="false">IF(OR(J425="",J425=0),"",_xlfn.MINIFS($E$2:$E$500,$B$2:$B$500,B425,$C$2:$C$500,C425,$F$2:$F$500,F425,$H$2:$H$500,"Trade estimate"))</f>
        <v/>
      </c>
      <c r="M425" s="12" t="str">
        <f aca="false">IF(OR(J425="",J425&lt;2),"",IF(L425=0,"",(K425-L425)/L425))</f>
        <v/>
      </c>
      <c r="N425" s="13" t="str">
        <f aca="false">IF(B425="","",IF(J425&lt;2,"Needs 2+ trade sources",IF(M425&gt;Lists!$E$2,"CHECK","OK")))</f>
        <v/>
      </c>
      <c r="O425" s="9" t="str">
        <f aca="false">IF(B425="","",IF(J425&lt;2,"Needs 2+ trade sources",IF(M425&lt;=Lists!$E$6,"Good",IF(M425&lt;=Lists!$E$2,"Moderate","Bad"))))</f>
        <v/>
      </c>
    </row>
    <row r="426" customFormat="false" ht="14.25" hidden="false" customHeight="true" outlineLevel="0" collapsed="false">
      <c r="A426" s="6"/>
      <c r="B426" s="7"/>
      <c r="C426" s="8"/>
      <c r="D426" s="9" t="str">
        <f aca="false">IF(OR(B426="",C426=""),"",IFERROR(C426-INDEX(Films!$C$2:$C$100,MATCH(B426,Films!$A$2:$A$100,0))+1,""))</f>
        <v/>
      </c>
      <c r="E426" s="10"/>
      <c r="F426" s="7"/>
      <c r="G426" s="7"/>
      <c r="H426" s="7"/>
      <c r="I426" s="7"/>
      <c r="J426" s="9" t="str">
        <f aca="false">IF(B426="","",COUNTIFS($B$2:$B$500,B426,$C$2:$C$500,C426,$F$2:$F$500,F426,$H$2:$H$500,"Trade estimate"))</f>
        <v/>
      </c>
      <c r="K426" s="11" t="str">
        <f aca="false">IF(OR(J426="",J426=0),"",_xlfn.MAXIFS($E$2:$E$500,$B$2:$B$500,B426,$C$2:$C$500,C426,$F$2:$F$500,F426,$H$2:$H$500,"Trade estimate"))</f>
        <v/>
      </c>
      <c r="L426" s="11" t="str">
        <f aca="false">IF(OR(J426="",J426=0),"",_xlfn.MINIFS($E$2:$E$500,$B$2:$B$500,B426,$C$2:$C$500,C426,$F$2:$F$500,F426,$H$2:$H$500,"Trade estimate"))</f>
        <v/>
      </c>
      <c r="M426" s="12" t="str">
        <f aca="false">IF(OR(J426="",J426&lt;2),"",IF(L426=0,"",(K426-L426)/L426))</f>
        <v/>
      </c>
      <c r="N426" s="13" t="str">
        <f aca="false">IF(B426="","",IF(J426&lt;2,"Needs 2+ trade sources",IF(M426&gt;Lists!$E$2,"CHECK","OK")))</f>
        <v/>
      </c>
      <c r="O426" s="9" t="str">
        <f aca="false">IF(B426="","",IF(J426&lt;2,"Needs 2+ trade sources",IF(M426&lt;=Lists!$E$6,"Good",IF(M426&lt;=Lists!$E$2,"Moderate","Bad"))))</f>
        <v/>
      </c>
    </row>
    <row r="427" customFormat="false" ht="14.25" hidden="false" customHeight="true" outlineLevel="0" collapsed="false">
      <c r="A427" s="6"/>
      <c r="B427" s="7"/>
      <c r="C427" s="8"/>
      <c r="D427" s="9" t="str">
        <f aca="false">IF(OR(B427="",C427=""),"",IFERROR(C427-INDEX(Films!$C$2:$C$100,MATCH(B427,Films!$A$2:$A$100,0))+1,""))</f>
        <v/>
      </c>
      <c r="E427" s="10"/>
      <c r="F427" s="7"/>
      <c r="G427" s="7"/>
      <c r="H427" s="7"/>
      <c r="I427" s="7"/>
      <c r="J427" s="9" t="str">
        <f aca="false">IF(B427="","",COUNTIFS($B$2:$B$500,B427,$C$2:$C$500,C427,$F$2:$F$500,F427,$H$2:$H$500,"Trade estimate"))</f>
        <v/>
      </c>
      <c r="K427" s="11" t="str">
        <f aca="false">IF(OR(J427="",J427=0),"",_xlfn.MAXIFS($E$2:$E$500,$B$2:$B$500,B427,$C$2:$C$500,C427,$F$2:$F$500,F427,$H$2:$H$500,"Trade estimate"))</f>
        <v/>
      </c>
      <c r="L427" s="11" t="str">
        <f aca="false">IF(OR(J427="",J427=0),"",_xlfn.MINIFS($E$2:$E$500,$B$2:$B$500,B427,$C$2:$C$500,C427,$F$2:$F$500,F427,$H$2:$H$500,"Trade estimate"))</f>
        <v/>
      </c>
      <c r="M427" s="12" t="str">
        <f aca="false">IF(OR(J427="",J427&lt;2),"",IF(L427=0,"",(K427-L427)/L427))</f>
        <v/>
      </c>
      <c r="N427" s="13" t="str">
        <f aca="false">IF(B427="","",IF(J427&lt;2,"Needs 2+ trade sources",IF(M427&gt;Lists!$E$2,"CHECK","OK")))</f>
        <v/>
      </c>
      <c r="O427" s="9" t="str">
        <f aca="false">IF(B427="","",IF(J427&lt;2,"Needs 2+ trade sources",IF(M427&lt;=Lists!$E$6,"Good",IF(M427&lt;=Lists!$E$2,"Moderate","Bad"))))</f>
        <v/>
      </c>
    </row>
    <row r="428" customFormat="false" ht="14.25" hidden="false" customHeight="true" outlineLevel="0" collapsed="false">
      <c r="A428" s="6"/>
      <c r="B428" s="7"/>
      <c r="C428" s="8"/>
      <c r="D428" s="9" t="str">
        <f aca="false">IF(OR(B428="",C428=""),"",IFERROR(C428-INDEX(Films!$C$2:$C$100,MATCH(B428,Films!$A$2:$A$100,0))+1,""))</f>
        <v/>
      </c>
      <c r="E428" s="10"/>
      <c r="F428" s="7"/>
      <c r="G428" s="7"/>
      <c r="H428" s="7"/>
      <c r="I428" s="7"/>
      <c r="J428" s="9" t="str">
        <f aca="false">IF(B428="","",COUNTIFS($B$2:$B$500,B428,$C$2:$C$500,C428,$F$2:$F$500,F428,$H$2:$H$500,"Trade estimate"))</f>
        <v/>
      </c>
      <c r="K428" s="11" t="str">
        <f aca="false">IF(OR(J428="",J428=0),"",_xlfn.MAXIFS($E$2:$E$500,$B$2:$B$500,B428,$C$2:$C$500,C428,$F$2:$F$500,F428,$H$2:$H$500,"Trade estimate"))</f>
        <v/>
      </c>
      <c r="L428" s="11" t="str">
        <f aca="false">IF(OR(J428="",J428=0),"",_xlfn.MINIFS($E$2:$E$500,$B$2:$B$500,B428,$C$2:$C$500,C428,$F$2:$F$500,F428,$H$2:$H$500,"Trade estimate"))</f>
        <v/>
      </c>
      <c r="M428" s="12" t="str">
        <f aca="false">IF(OR(J428="",J428&lt;2),"",IF(L428=0,"",(K428-L428)/L428))</f>
        <v/>
      </c>
      <c r="N428" s="13" t="str">
        <f aca="false">IF(B428="","",IF(J428&lt;2,"Needs 2+ trade sources",IF(M428&gt;Lists!$E$2,"CHECK","OK")))</f>
        <v/>
      </c>
      <c r="O428" s="9" t="str">
        <f aca="false">IF(B428="","",IF(J428&lt;2,"Needs 2+ trade sources",IF(M428&lt;=Lists!$E$6,"Good",IF(M428&lt;=Lists!$E$2,"Moderate","Bad"))))</f>
        <v/>
      </c>
    </row>
    <row r="429" customFormat="false" ht="14.25" hidden="false" customHeight="true" outlineLevel="0" collapsed="false">
      <c r="A429" s="6"/>
      <c r="B429" s="7"/>
      <c r="C429" s="8"/>
      <c r="D429" s="9" t="str">
        <f aca="false">IF(OR(B429="",C429=""),"",IFERROR(C429-INDEX(Films!$C$2:$C$100,MATCH(B429,Films!$A$2:$A$100,0))+1,""))</f>
        <v/>
      </c>
      <c r="E429" s="10"/>
      <c r="F429" s="7"/>
      <c r="G429" s="7"/>
      <c r="H429" s="7"/>
      <c r="I429" s="7"/>
      <c r="J429" s="9" t="str">
        <f aca="false">IF(B429="","",COUNTIFS($B$2:$B$500,B429,$C$2:$C$500,C429,$F$2:$F$500,F429,$H$2:$H$500,"Trade estimate"))</f>
        <v/>
      </c>
      <c r="K429" s="11" t="str">
        <f aca="false">IF(OR(J429="",J429=0),"",_xlfn.MAXIFS($E$2:$E$500,$B$2:$B$500,B429,$C$2:$C$500,C429,$F$2:$F$500,F429,$H$2:$H$500,"Trade estimate"))</f>
        <v/>
      </c>
      <c r="L429" s="11" t="str">
        <f aca="false">IF(OR(J429="",J429=0),"",_xlfn.MINIFS($E$2:$E$500,$B$2:$B$500,B429,$C$2:$C$500,C429,$F$2:$F$500,F429,$H$2:$H$500,"Trade estimate"))</f>
        <v/>
      </c>
      <c r="M429" s="12" t="str">
        <f aca="false">IF(OR(J429="",J429&lt;2),"",IF(L429=0,"",(K429-L429)/L429))</f>
        <v/>
      </c>
      <c r="N429" s="13" t="str">
        <f aca="false">IF(B429="","",IF(J429&lt;2,"Needs 2+ trade sources",IF(M429&gt;Lists!$E$2,"CHECK","OK")))</f>
        <v/>
      </c>
      <c r="O429" s="9" t="str">
        <f aca="false">IF(B429="","",IF(J429&lt;2,"Needs 2+ trade sources",IF(M429&lt;=Lists!$E$6,"Good",IF(M429&lt;=Lists!$E$2,"Moderate","Bad"))))</f>
        <v/>
      </c>
    </row>
    <row r="430" customFormat="false" ht="14.25" hidden="false" customHeight="true" outlineLevel="0" collapsed="false">
      <c r="A430" s="6"/>
      <c r="B430" s="7"/>
      <c r="C430" s="8"/>
      <c r="D430" s="9" t="str">
        <f aca="false">IF(OR(B430="",C430=""),"",IFERROR(C430-INDEX(Films!$C$2:$C$100,MATCH(B430,Films!$A$2:$A$100,0))+1,""))</f>
        <v/>
      </c>
      <c r="E430" s="10"/>
      <c r="F430" s="7"/>
      <c r="G430" s="7"/>
      <c r="H430" s="7"/>
      <c r="I430" s="7"/>
      <c r="J430" s="9" t="str">
        <f aca="false">IF(B430="","",COUNTIFS($B$2:$B$500,B430,$C$2:$C$500,C430,$F$2:$F$500,F430,$H$2:$H$500,"Trade estimate"))</f>
        <v/>
      </c>
      <c r="K430" s="11" t="str">
        <f aca="false">IF(OR(J430="",J430=0),"",_xlfn.MAXIFS($E$2:$E$500,$B$2:$B$500,B430,$C$2:$C$500,C430,$F$2:$F$500,F430,$H$2:$H$500,"Trade estimate"))</f>
        <v/>
      </c>
      <c r="L430" s="11" t="str">
        <f aca="false">IF(OR(J430="",J430=0),"",_xlfn.MINIFS($E$2:$E$500,$B$2:$B$500,B430,$C$2:$C$500,C430,$F$2:$F$500,F430,$H$2:$H$500,"Trade estimate"))</f>
        <v/>
      </c>
      <c r="M430" s="12" t="str">
        <f aca="false">IF(OR(J430="",J430&lt;2),"",IF(L430=0,"",(K430-L430)/L430))</f>
        <v/>
      </c>
      <c r="N430" s="13" t="str">
        <f aca="false">IF(B430="","",IF(J430&lt;2,"Needs 2+ trade sources",IF(M430&gt;Lists!$E$2,"CHECK","OK")))</f>
        <v/>
      </c>
      <c r="O430" s="9" t="str">
        <f aca="false">IF(B430="","",IF(J430&lt;2,"Needs 2+ trade sources",IF(M430&lt;=Lists!$E$6,"Good",IF(M430&lt;=Lists!$E$2,"Moderate","Bad"))))</f>
        <v/>
      </c>
    </row>
    <row r="431" customFormat="false" ht="14.25" hidden="false" customHeight="true" outlineLevel="0" collapsed="false">
      <c r="A431" s="6"/>
      <c r="B431" s="7"/>
      <c r="C431" s="8"/>
      <c r="D431" s="9" t="str">
        <f aca="false">IF(OR(B431="",C431=""),"",IFERROR(C431-INDEX(Films!$C$2:$C$100,MATCH(B431,Films!$A$2:$A$100,0))+1,""))</f>
        <v/>
      </c>
      <c r="E431" s="10"/>
      <c r="F431" s="7"/>
      <c r="G431" s="7"/>
      <c r="H431" s="7"/>
      <c r="I431" s="7"/>
      <c r="J431" s="9" t="str">
        <f aca="false">IF(B431="","",COUNTIFS($B$2:$B$500,B431,$C$2:$C$500,C431,$F$2:$F$500,F431,$H$2:$H$500,"Trade estimate"))</f>
        <v/>
      </c>
      <c r="K431" s="11" t="str">
        <f aca="false">IF(OR(J431="",J431=0),"",_xlfn.MAXIFS($E$2:$E$500,$B$2:$B$500,B431,$C$2:$C$500,C431,$F$2:$F$500,F431,$H$2:$H$500,"Trade estimate"))</f>
        <v/>
      </c>
      <c r="L431" s="11" t="str">
        <f aca="false">IF(OR(J431="",J431=0),"",_xlfn.MINIFS($E$2:$E$500,$B$2:$B$500,B431,$C$2:$C$500,C431,$F$2:$F$500,F431,$H$2:$H$500,"Trade estimate"))</f>
        <v/>
      </c>
      <c r="M431" s="12" t="str">
        <f aca="false">IF(OR(J431="",J431&lt;2),"",IF(L431=0,"",(K431-L431)/L431))</f>
        <v/>
      </c>
      <c r="N431" s="13" t="str">
        <f aca="false">IF(B431="","",IF(J431&lt;2,"Needs 2+ trade sources",IF(M431&gt;Lists!$E$2,"CHECK","OK")))</f>
        <v/>
      </c>
      <c r="O431" s="9" t="str">
        <f aca="false">IF(B431="","",IF(J431&lt;2,"Needs 2+ trade sources",IF(M431&lt;=Lists!$E$6,"Good",IF(M431&lt;=Lists!$E$2,"Moderate","Bad"))))</f>
        <v/>
      </c>
    </row>
    <row r="432" customFormat="false" ht="14.25" hidden="false" customHeight="true" outlineLevel="0" collapsed="false">
      <c r="A432" s="6"/>
      <c r="B432" s="7"/>
      <c r="C432" s="8"/>
      <c r="D432" s="9" t="str">
        <f aca="false">IF(OR(B432="",C432=""),"",IFERROR(C432-INDEX(Films!$C$2:$C$100,MATCH(B432,Films!$A$2:$A$100,0))+1,""))</f>
        <v/>
      </c>
      <c r="E432" s="10"/>
      <c r="F432" s="7"/>
      <c r="G432" s="7"/>
      <c r="H432" s="7"/>
      <c r="I432" s="7"/>
      <c r="J432" s="9" t="str">
        <f aca="false">IF(B432="","",COUNTIFS($B$2:$B$500,B432,$C$2:$C$500,C432,$F$2:$F$500,F432,$H$2:$H$500,"Trade estimate"))</f>
        <v/>
      </c>
      <c r="K432" s="11" t="str">
        <f aca="false">IF(OR(J432="",J432=0),"",_xlfn.MAXIFS($E$2:$E$500,$B$2:$B$500,B432,$C$2:$C$500,C432,$F$2:$F$500,F432,$H$2:$H$500,"Trade estimate"))</f>
        <v/>
      </c>
      <c r="L432" s="11" t="str">
        <f aca="false">IF(OR(J432="",J432=0),"",_xlfn.MINIFS($E$2:$E$500,$B$2:$B$500,B432,$C$2:$C$500,C432,$F$2:$F$500,F432,$H$2:$H$500,"Trade estimate"))</f>
        <v/>
      </c>
      <c r="M432" s="12" t="str">
        <f aca="false">IF(OR(J432="",J432&lt;2),"",IF(L432=0,"",(K432-L432)/L432))</f>
        <v/>
      </c>
      <c r="N432" s="13" t="str">
        <f aca="false">IF(B432="","",IF(J432&lt;2,"Needs 2+ trade sources",IF(M432&gt;Lists!$E$2,"CHECK","OK")))</f>
        <v/>
      </c>
      <c r="O432" s="9" t="str">
        <f aca="false">IF(B432="","",IF(J432&lt;2,"Needs 2+ trade sources",IF(M432&lt;=Lists!$E$6,"Good",IF(M432&lt;=Lists!$E$2,"Moderate","Bad"))))</f>
        <v/>
      </c>
    </row>
    <row r="433" customFormat="false" ht="14.25" hidden="false" customHeight="true" outlineLevel="0" collapsed="false">
      <c r="A433" s="6"/>
      <c r="B433" s="7"/>
      <c r="C433" s="8"/>
      <c r="D433" s="9" t="str">
        <f aca="false">IF(OR(B433="",C433=""),"",IFERROR(C433-INDEX(Films!$C$2:$C$100,MATCH(B433,Films!$A$2:$A$100,0))+1,""))</f>
        <v/>
      </c>
      <c r="E433" s="10"/>
      <c r="F433" s="7"/>
      <c r="G433" s="7"/>
      <c r="H433" s="7"/>
      <c r="I433" s="7"/>
      <c r="J433" s="9" t="str">
        <f aca="false">IF(B433="","",COUNTIFS($B$2:$B$500,B433,$C$2:$C$500,C433,$F$2:$F$500,F433,$H$2:$H$500,"Trade estimate"))</f>
        <v/>
      </c>
      <c r="K433" s="11" t="str">
        <f aca="false">IF(OR(J433="",J433=0),"",_xlfn.MAXIFS($E$2:$E$500,$B$2:$B$500,B433,$C$2:$C$500,C433,$F$2:$F$500,F433,$H$2:$H$500,"Trade estimate"))</f>
        <v/>
      </c>
      <c r="L433" s="11" t="str">
        <f aca="false">IF(OR(J433="",J433=0),"",_xlfn.MINIFS($E$2:$E$500,$B$2:$B$500,B433,$C$2:$C$500,C433,$F$2:$F$500,F433,$H$2:$H$500,"Trade estimate"))</f>
        <v/>
      </c>
      <c r="M433" s="12" t="str">
        <f aca="false">IF(OR(J433="",J433&lt;2),"",IF(L433=0,"",(K433-L433)/L433))</f>
        <v/>
      </c>
      <c r="N433" s="13" t="str">
        <f aca="false">IF(B433="","",IF(J433&lt;2,"Needs 2+ trade sources",IF(M433&gt;Lists!$E$2,"CHECK","OK")))</f>
        <v/>
      </c>
      <c r="O433" s="9" t="str">
        <f aca="false">IF(B433="","",IF(J433&lt;2,"Needs 2+ trade sources",IF(M433&lt;=Lists!$E$6,"Good",IF(M433&lt;=Lists!$E$2,"Moderate","Bad"))))</f>
        <v/>
      </c>
    </row>
    <row r="434" customFormat="false" ht="14.25" hidden="false" customHeight="true" outlineLevel="0" collapsed="false">
      <c r="A434" s="6"/>
      <c r="B434" s="7"/>
      <c r="C434" s="8"/>
      <c r="D434" s="9" t="str">
        <f aca="false">IF(OR(B434="",C434=""),"",IFERROR(C434-INDEX(Films!$C$2:$C$100,MATCH(B434,Films!$A$2:$A$100,0))+1,""))</f>
        <v/>
      </c>
      <c r="E434" s="10"/>
      <c r="F434" s="7"/>
      <c r="G434" s="7"/>
      <c r="H434" s="7"/>
      <c r="I434" s="7"/>
      <c r="J434" s="9" t="str">
        <f aca="false">IF(B434="","",COUNTIFS($B$2:$B$500,B434,$C$2:$C$500,C434,$F$2:$F$500,F434,$H$2:$H$500,"Trade estimate"))</f>
        <v/>
      </c>
      <c r="K434" s="11" t="str">
        <f aca="false">IF(OR(J434="",J434=0),"",_xlfn.MAXIFS($E$2:$E$500,$B$2:$B$500,B434,$C$2:$C$500,C434,$F$2:$F$500,F434,$H$2:$H$500,"Trade estimate"))</f>
        <v/>
      </c>
      <c r="L434" s="11" t="str">
        <f aca="false">IF(OR(J434="",J434=0),"",_xlfn.MINIFS($E$2:$E$500,$B$2:$B$500,B434,$C$2:$C$500,C434,$F$2:$F$500,F434,$H$2:$H$500,"Trade estimate"))</f>
        <v/>
      </c>
      <c r="M434" s="12" t="str">
        <f aca="false">IF(OR(J434="",J434&lt;2),"",IF(L434=0,"",(K434-L434)/L434))</f>
        <v/>
      </c>
      <c r="N434" s="13" t="str">
        <f aca="false">IF(B434="","",IF(J434&lt;2,"Needs 2+ trade sources",IF(M434&gt;Lists!$E$2,"CHECK","OK")))</f>
        <v/>
      </c>
      <c r="O434" s="9" t="str">
        <f aca="false">IF(B434="","",IF(J434&lt;2,"Needs 2+ trade sources",IF(M434&lt;=Lists!$E$6,"Good",IF(M434&lt;=Lists!$E$2,"Moderate","Bad"))))</f>
        <v/>
      </c>
    </row>
    <row r="435" customFormat="false" ht="14.25" hidden="false" customHeight="true" outlineLevel="0" collapsed="false">
      <c r="A435" s="6"/>
      <c r="B435" s="7"/>
      <c r="C435" s="8"/>
      <c r="D435" s="9" t="str">
        <f aca="false">IF(OR(B435="",C435=""),"",IFERROR(C435-INDEX(Films!$C$2:$C$100,MATCH(B435,Films!$A$2:$A$100,0))+1,""))</f>
        <v/>
      </c>
      <c r="E435" s="10"/>
      <c r="F435" s="7"/>
      <c r="G435" s="7"/>
      <c r="H435" s="7"/>
      <c r="I435" s="7"/>
      <c r="J435" s="9" t="str">
        <f aca="false">IF(B435="","",COUNTIFS($B$2:$B$500,B435,$C$2:$C$500,C435,$F$2:$F$500,F435,$H$2:$H$500,"Trade estimate"))</f>
        <v/>
      </c>
      <c r="K435" s="11" t="str">
        <f aca="false">IF(OR(J435="",J435=0),"",_xlfn.MAXIFS($E$2:$E$500,$B$2:$B$500,B435,$C$2:$C$500,C435,$F$2:$F$500,F435,$H$2:$H$500,"Trade estimate"))</f>
        <v/>
      </c>
      <c r="L435" s="11" t="str">
        <f aca="false">IF(OR(J435="",J435=0),"",_xlfn.MINIFS($E$2:$E$500,$B$2:$B$500,B435,$C$2:$C$500,C435,$F$2:$F$500,F435,$H$2:$H$500,"Trade estimate"))</f>
        <v/>
      </c>
      <c r="M435" s="12" t="str">
        <f aca="false">IF(OR(J435="",J435&lt;2),"",IF(L435=0,"",(K435-L435)/L435))</f>
        <v/>
      </c>
      <c r="N435" s="13" t="str">
        <f aca="false">IF(B435="","",IF(J435&lt;2,"Needs 2+ trade sources",IF(M435&gt;Lists!$E$2,"CHECK","OK")))</f>
        <v/>
      </c>
      <c r="O435" s="9" t="str">
        <f aca="false">IF(B435="","",IF(J435&lt;2,"Needs 2+ trade sources",IF(M435&lt;=Lists!$E$6,"Good",IF(M435&lt;=Lists!$E$2,"Moderate","Bad"))))</f>
        <v/>
      </c>
    </row>
    <row r="436" customFormat="false" ht="14.25" hidden="false" customHeight="true" outlineLevel="0" collapsed="false">
      <c r="A436" s="6"/>
      <c r="B436" s="7"/>
      <c r="C436" s="8"/>
      <c r="D436" s="9" t="str">
        <f aca="false">IF(OR(B436="",C436=""),"",IFERROR(C436-INDEX(Films!$C$2:$C$100,MATCH(B436,Films!$A$2:$A$100,0))+1,""))</f>
        <v/>
      </c>
      <c r="E436" s="10"/>
      <c r="F436" s="7"/>
      <c r="G436" s="7"/>
      <c r="H436" s="7"/>
      <c r="I436" s="7"/>
      <c r="J436" s="9" t="str">
        <f aca="false">IF(B436="","",COUNTIFS($B$2:$B$500,B436,$C$2:$C$500,C436,$F$2:$F$500,F436,$H$2:$H$500,"Trade estimate"))</f>
        <v/>
      </c>
      <c r="K436" s="11" t="str">
        <f aca="false">IF(OR(J436="",J436=0),"",_xlfn.MAXIFS($E$2:$E$500,$B$2:$B$500,B436,$C$2:$C$500,C436,$F$2:$F$500,F436,$H$2:$H$500,"Trade estimate"))</f>
        <v/>
      </c>
      <c r="L436" s="11" t="str">
        <f aca="false">IF(OR(J436="",J436=0),"",_xlfn.MINIFS($E$2:$E$500,$B$2:$B$500,B436,$C$2:$C$500,C436,$F$2:$F$500,F436,$H$2:$H$500,"Trade estimate"))</f>
        <v/>
      </c>
      <c r="M436" s="12" t="str">
        <f aca="false">IF(OR(J436="",J436&lt;2),"",IF(L436=0,"",(K436-L436)/L436))</f>
        <v/>
      </c>
      <c r="N436" s="13" t="str">
        <f aca="false">IF(B436="","",IF(J436&lt;2,"Needs 2+ trade sources",IF(M436&gt;Lists!$E$2,"CHECK","OK")))</f>
        <v/>
      </c>
      <c r="O436" s="9" t="str">
        <f aca="false">IF(B436="","",IF(J436&lt;2,"Needs 2+ trade sources",IF(M436&lt;=Lists!$E$6,"Good",IF(M436&lt;=Lists!$E$2,"Moderate","Bad"))))</f>
        <v/>
      </c>
    </row>
    <row r="437" customFormat="false" ht="14.25" hidden="false" customHeight="true" outlineLevel="0" collapsed="false">
      <c r="A437" s="6"/>
      <c r="B437" s="7"/>
      <c r="C437" s="8"/>
      <c r="D437" s="9" t="str">
        <f aca="false">IF(OR(B437="",C437=""),"",IFERROR(C437-INDEX(Films!$C$2:$C$100,MATCH(B437,Films!$A$2:$A$100,0))+1,""))</f>
        <v/>
      </c>
      <c r="E437" s="10"/>
      <c r="F437" s="7"/>
      <c r="G437" s="7"/>
      <c r="H437" s="7"/>
      <c r="I437" s="7"/>
      <c r="J437" s="9" t="str">
        <f aca="false">IF(B437="","",COUNTIFS($B$2:$B$500,B437,$C$2:$C$500,C437,$F$2:$F$500,F437,$H$2:$H$500,"Trade estimate"))</f>
        <v/>
      </c>
      <c r="K437" s="11" t="str">
        <f aca="false">IF(OR(J437="",J437=0),"",_xlfn.MAXIFS($E$2:$E$500,$B$2:$B$500,B437,$C$2:$C$500,C437,$F$2:$F$500,F437,$H$2:$H$500,"Trade estimate"))</f>
        <v/>
      </c>
      <c r="L437" s="11" t="str">
        <f aca="false">IF(OR(J437="",J437=0),"",_xlfn.MINIFS($E$2:$E$500,$B$2:$B$500,B437,$C$2:$C$500,C437,$F$2:$F$500,F437,$H$2:$H$500,"Trade estimate"))</f>
        <v/>
      </c>
      <c r="M437" s="12" t="str">
        <f aca="false">IF(OR(J437="",J437&lt;2),"",IF(L437=0,"",(K437-L437)/L437))</f>
        <v/>
      </c>
      <c r="N437" s="13" t="str">
        <f aca="false">IF(B437="","",IF(J437&lt;2,"Needs 2+ trade sources",IF(M437&gt;Lists!$E$2,"CHECK","OK")))</f>
        <v/>
      </c>
      <c r="O437" s="9" t="str">
        <f aca="false">IF(B437="","",IF(J437&lt;2,"Needs 2+ trade sources",IF(M437&lt;=Lists!$E$6,"Good",IF(M437&lt;=Lists!$E$2,"Moderate","Bad"))))</f>
        <v/>
      </c>
    </row>
    <row r="438" customFormat="false" ht="14.25" hidden="false" customHeight="true" outlineLevel="0" collapsed="false">
      <c r="A438" s="6"/>
      <c r="B438" s="7"/>
      <c r="C438" s="8"/>
      <c r="D438" s="9" t="str">
        <f aca="false">IF(OR(B438="",C438=""),"",IFERROR(C438-INDEX(Films!$C$2:$C$100,MATCH(B438,Films!$A$2:$A$100,0))+1,""))</f>
        <v/>
      </c>
      <c r="E438" s="10"/>
      <c r="F438" s="7"/>
      <c r="G438" s="7"/>
      <c r="H438" s="7"/>
      <c r="I438" s="7"/>
      <c r="J438" s="9" t="str">
        <f aca="false">IF(B438="","",COUNTIFS($B$2:$B$500,B438,$C$2:$C$500,C438,$F$2:$F$500,F438,$H$2:$H$500,"Trade estimate"))</f>
        <v/>
      </c>
      <c r="K438" s="11" t="str">
        <f aca="false">IF(OR(J438="",J438=0),"",_xlfn.MAXIFS($E$2:$E$500,$B$2:$B$500,B438,$C$2:$C$500,C438,$F$2:$F$500,F438,$H$2:$H$500,"Trade estimate"))</f>
        <v/>
      </c>
      <c r="L438" s="11" t="str">
        <f aca="false">IF(OR(J438="",J438=0),"",_xlfn.MINIFS($E$2:$E$500,$B$2:$B$500,B438,$C$2:$C$500,C438,$F$2:$F$500,F438,$H$2:$H$500,"Trade estimate"))</f>
        <v/>
      </c>
      <c r="M438" s="12" t="str">
        <f aca="false">IF(OR(J438="",J438&lt;2),"",IF(L438=0,"",(K438-L438)/L438))</f>
        <v/>
      </c>
      <c r="N438" s="13" t="str">
        <f aca="false">IF(B438="","",IF(J438&lt;2,"Needs 2+ trade sources",IF(M438&gt;Lists!$E$2,"CHECK","OK")))</f>
        <v/>
      </c>
      <c r="O438" s="9" t="str">
        <f aca="false">IF(B438="","",IF(J438&lt;2,"Needs 2+ trade sources",IF(M438&lt;=Lists!$E$6,"Good",IF(M438&lt;=Lists!$E$2,"Moderate","Bad"))))</f>
        <v/>
      </c>
    </row>
    <row r="439" customFormat="false" ht="14.25" hidden="false" customHeight="true" outlineLevel="0" collapsed="false">
      <c r="A439" s="6"/>
      <c r="B439" s="7"/>
      <c r="C439" s="8"/>
      <c r="D439" s="9" t="str">
        <f aca="false">IF(OR(B439="",C439=""),"",IFERROR(C439-INDEX(Films!$C$2:$C$100,MATCH(B439,Films!$A$2:$A$100,0))+1,""))</f>
        <v/>
      </c>
      <c r="E439" s="10"/>
      <c r="F439" s="7"/>
      <c r="G439" s="7"/>
      <c r="H439" s="7"/>
      <c r="I439" s="7"/>
      <c r="J439" s="9" t="str">
        <f aca="false">IF(B439="","",COUNTIFS($B$2:$B$500,B439,$C$2:$C$500,C439,$F$2:$F$500,F439,$H$2:$H$500,"Trade estimate"))</f>
        <v/>
      </c>
      <c r="K439" s="11" t="str">
        <f aca="false">IF(OR(J439="",J439=0),"",_xlfn.MAXIFS($E$2:$E$500,$B$2:$B$500,B439,$C$2:$C$500,C439,$F$2:$F$500,F439,$H$2:$H$500,"Trade estimate"))</f>
        <v/>
      </c>
      <c r="L439" s="11" t="str">
        <f aca="false">IF(OR(J439="",J439=0),"",_xlfn.MINIFS($E$2:$E$500,$B$2:$B$500,B439,$C$2:$C$500,C439,$F$2:$F$500,F439,$H$2:$H$500,"Trade estimate"))</f>
        <v/>
      </c>
      <c r="M439" s="12" t="str">
        <f aca="false">IF(OR(J439="",J439&lt;2),"",IF(L439=0,"",(K439-L439)/L439))</f>
        <v/>
      </c>
      <c r="N439" s="13" t="str">
        <f aca="false">IF(B439="","",IF(J439&lt;2,"Needs 2+ trade sources",IF(M439&gt;Lists!$E$2,"CHECK","OK")))</f>
        <v/>
      </c>
      <c r="O439" s="9" t="str">
        <f aca="false">IF(B439="","",IF(J439&lt;2,"Needs 2+ trade sources",IF(M439&lt;=Lists!$E$6,"Good",IF(M439&lt;=Lists!$E$2,"Moderate","Bad"))))</f>
        <v/>
      </c>
    </row>
    <row r="440" customFormat="false" ht="14.25" hidden="false" customHeight="true" outlineLevel="0" collapsed="false">
      <c r="A440" s="6"/>
      <c r="B440" s="7"/>
      <c r="C440" s="8"/>
      <c r="D440" s="9" t="str">
        <f aca="false">IF(OR(B440="",C440=""),"",IFERROR(C440-INDEX(Films!$C$2:$C$100,MATCH(B440,Films!$A$2:$A$100,0))+1,""))</f>
        <v/>
      </c>
      <c r="E440" s="10"/>
      <c r="F440" s="7"/>
      <c r="G440" s="7"/>
      <c r="H440" s="7"/>
      <c r="I440" s="7"/>
      <c r="J440" s="9" t="str">
        <f aca="false">IF(B440="","",COUNTIFS($B$2:$B$500,B440,$C$2:$C$500,C440,$F$2:$F$500,F440,$H$2:$H$500,"Trade estimate"))</f>
        <v/>
      </c>
      <c r="K440" s="11" t="str">
        <f aca="false">IF(OR(J440="",J440=0),"",_xlfn.MAXIFS($E$2:$E$500,$B$2:$B$500,B440,$C$2:$C$500,C440,$F$2:$F$500,F440,$H$2:$H$500,"Trade estimate"))</f>
        <v/>
      </c>
      <c r="L440" s="11" t="str">
        <f aca="false">IF(OR(J440="",J440=0),"",_xlfn.MINIFS($E$2:$E$500,$B$2:$B$500,B440,$C$2:$C$500,C440,$F$2:$F$500,F440,$H$2:$H$500,"Trade estimate"))</f>
        <v/>
      </c>
      <c r="M440" s="12" t="str">
        <f aca="false">IF(OR(J440="",J440&lt;2),"",IF(L440=0,"",(K440-L440)/L440))</f>
        <v/>
      </c>
      <c r="N440" s="13" t="str">
        <f aca="false">IF(B440="","",IF(J440&lt;2,"Needs 2+ trade sources",IF(M440&gt;Lists!$E$2,"CHECK","OK")))</f>
        <v/>
      </c>
      <c r="O440" s="9" t="str">
        <f aca="false">IF(B440="","",IF(J440&lt;2,"Needs 2+ trade sources",IF(M440&lt;=Lists!$E$6,"Good",IF(M440&lt;=Lists!$E$2,"Moderate","Bad"))))</f>
        <v/>
      </c>
    </row>
    <row r="441" customFormat="false" ht="14.25" hidden="false" customHeight="true" outlineLevel="0" collapsed="false">
      <c r="A441" s="6"/>
      <c r="B441" s="7"/>
      <c r="C441" s="8"/>
      <c r="D441" s="9" t="str">
        <f aca="false">IF(OR(B441="",C441=""),"",IFERROR(C441-INDEX(Films!$C$2:$C$100,MATCH(B441,Films!$A$2:$A$100,0))+1,""))</f>
        <v/>
      </c>
      <c r="E441" s="10"/>
      <c r="F441" s="7"/>
      <c r="G441" s="7"/>
      <c r="H441" s="7"/>
      <c r="I441" s="7"/>
      <c r="J441" s="9" t="str">
        <f aca="false">IF(B441="","",COUNTIFS($B$2:$B$500,B441,$C$2:$C$500,C441,$F$2:$F$500,F441,$H$2:$H$500,"Trade estimate"))</f>
        <v/>
      </c>
      <c r="K441" s="11" t="str">
        <f aca="false">IF(OR(J441="",J441=0),"",_xlfn.MAXIFS($E$2:$E$500,$B$2:$B$500,B441,$C$2:$C$500,C441,$F$2:$F$500,F441,$H$2:$H$500,"Trade estimate"))</f>
        <v/>
      </c>
      <c r="L441" s="11" t="str">
        <f aca="false">IF(OR(J441="",J441=0),"",_xlfn.MINIFS($E$2:$E$500,$B$2:$B$500,B441,$C$2:$C$500,C441,$F$2:$F$500,F441,$H$2:$H$500,"Trade estimate"))</f>
        <v/>
      </c>
      <c r="M441" s="12" t="str">
        <f aca="false">IF(OR(J441="",J441&lt;2),"",IF(L441=0,"",(K441-L441)/L441))</f>
        <v/>
      </c>
      <c r="N441" s="13" t="str">
        <f aca="false">IF(B441="","",IF(J441&lt;2,"Needs 2+ trade sources",IF(M441&gt;Lists!$E$2,"CHECK","OK")))</f>
        <v/>
      </c>
      <c r="O441" s="9" t="str">
        <f aca="false">IF(B441="","",IF(J441&lt;2,"Needs 2+ trade sources",IF(M441&lt;=Lists!$E$6,"Good",IF(M441&lt;=Lists!$E$2,"Moderate","Bad"))))</f>
        <v/>
      </c>
    </row>
    <row r="442" customFormat="false" ht="14.25" hidden="false" customHeight="true" outlineLevel="0" collapsed="false">
      <c r="A442" s="6"/>
      <c r="B442" s="7"/>
      <c r="C442" s="8"/>
      <c r="D442" s="9" t="str">
        <f aca="false">IF(OR(B442="",C442=""),"",IFERROR(C442-INDEX(Films!$C$2:$C$100,MATCH(B442,Films!$A$2:$A$100,0))+1,""))</f>
        <v/>
      </c>
      <c r="E442" s="10"/>
      <c r="F442" s="7"/>
      <c r="G442" s="7"/>
      <c r="H442" s="7"/>
      <c r="I442" s="7"/>
      <c r="J442" s="9" t="str">
        <f aca="false">IF(B442="","",COUNTIFS($B$2:$B$500,B442,$C$2:$C$500,C442,$F$2:$F$500,F442,$H$2:$H$500,"Trade estimate"))</f>
        <v/>
      </c>
      <c r="K442" s="11" t="str">
        <f aca="false">IF(OR(J442="",J442=0),"",_xlfn.MAXIFS($E$2:$E$500,$B$2:$B$500,B442,$C$2:$C$500,C442,$F$2:$F$500,F442,$H$2:$H$500,"Trade estimate"))</f>
        <v/>
      </c>
      <c r="L442" s="11" t="str">
        <f aca="false">IF(OR(J442="",J442=0),"",_xlfn.MINIFS($E$2:$E$500,$B$2:$B$500,B442,$C$2:$C$500,C442,$F$2:$F$500,F442,$H$2:$H$500,"Trade estimate"))</f>
        <v/>
      </c>
      <c r="M442" s="12" t="str">
        <f aca="false">IF(OR(J442="",J442&lt;2),"",IF(L442=0,"",(K442-L442)/L442))</f>
        <v/>
      </c>
      <c r="N442" s="13" t="str">
        <f aca="false">IF(B442="","",IF(J442&lt;2,"Needs 2+ trade sources",IF(M442&gt;Lists!$E$2,"CHECK","OK")))</f>
        <v/>
      </c>
      <c r="O442" s="9" t="str">
        <f aca="false">IF(B442="","",IF(J442&lt;2,"Needs 2+ trade sources",IF(M442&lt;=Lists!$E$6,"Good",IF(M442&lt;=Lists!$E$2,"Moderate","Bad"))))</f>
        <v/>
      </c>
    </row>
    <row r="443" customFormat="false" ht="14.25" hidden="false" customHeight="true" outlineLevel="0" collapsed="false">
      <c r="A443" s="6"/>
      <c r="B443" s="7"/>
      <c r="C443" s="8"/>
      <c r="D443" s="9" t="str">
        <f aca="false">IF(OR(B443="",C443=""),"",IFERROR(C443-INDEX(Films!$C$2:$C$100,MATCH(B443,Films!$A$2:$A$100,0))+1,""))</f>
        <v/>
      </c>
      <c r="E443" s="10"/>
      <c r="F443" s="7"/>
      <c r="G443" s="7"/>
      <c r="H443" s="7"/>
      <c r="I443" s="7"/>
      <c r="J443" s="9" t="str">
        <f aca="false">IF(B443="","",COUNTIFS($B$2:$B$500,B443,$C$2:$C$500,C443,$F$2:$F$500,F443,$H$2:$H$500,"Trade estimate"))</f>
        <v/>
      </c>
      <c r="K443" s="11" t="str">
        <f aca="false">IF(OR(J443="",J443=0),"",_xlfn.MAXIFS($E$2:$E$500,$B$2:$B$500,B443,$C$2:$C$500,C443,$F$2:$F$500,F443,$H$2:$H$500,"Trade estimate"))</f>
        <v/>
      </c>
      <c r="L443" s="11" t="str">
        <f aca="false">IF(OR(J443="",J443=0),"",_xlfn.MINIFS($E$2:$E$500,$B$2:$B$500,B443,$C$2:$C$500,C443,$F$2:$F$500,F443,$H$2:$H$500,"Trade estimate"))</f>
        <v/>
      </c>
      <c r="M443" s="12" t="str">
        <f aca="false">IF(OR(J443="",J443&lt;2),"",IF(L443=0,"",(K443-L443)/L443))</f>
        <v/>
      </c>
      <c r="N443" s="13" t="str">
        <f aca="false">IF(B443="","",IF(J443&lt;2,"Needs 2+ trade sources",IF(M443&gt;Lists!$E$2,"CHECK","OK")))</f>
        <v/>
      </c>
      <c r="O443" s="9" t="str">
        <f aca="false">IF(B443="","",IF(J443&lt;2,"Needs 2+ trade sources",IF(M443&lt;=Lists!$E$6,"Good",IF(M443&lt;=Lists!$E$2,"Moderate","Bad"))))</f>
        <v/>
      </c>
    </row>
    <row r="444" customFormat="false" ht="14.25" hidden="false" customHeight="true" outlineLevel="0" collapsed="false">
      <c r="A444" s="6"/>
      <c r="B444" s="7"/>
      <c r="C444" s="8"/>
      <c r="D444" s="9" t="str">
        <f aca="false">IF(OR(B444="",C444=""),"",IFERROR(C444-INDEX(Films!$C$2:$C$100,MATCH(B444,Films!$A$2:$A$100,0))+1,""))</f>
        <v/>
      </c>
      <c r="E444" s="10"/>
      <c r="F444" s="7"/>
      <c r="G444" s="7"/>
      <c r="H444" s="7"/>
      <c r="I444" s="7"/>
      <c r="J444" s="9" t="str">
        <f aca="false">IF(B444="","",COUNTIFS($B$2:$B$500,B444,$C$2:$C$500,C444,$F$2:$F$500,F444,$H$2:$H$500,"Trade estimate"))</f>
        <v/>
      </c>
      <c r="K444" s="11" t="str">
        <f aca="false">IF(OR(J444="",J444=0),"",_xlfn.MAXIFS($E$2:$E$500,$B$2:$B$500,B444,$C$2:$C$500,C444,$F$2:$F$500,F444,$H$2:$H$500,"Trade estimate"))</f>
        <v/>
      </c>
      <c r="L444" s="11" t="str">
        <f aca="false">IF(OR(J444="",J444=0),"",_xlfn.MINIFS($E$2:$E$500,$B$2:$B$500,B444,$C$2:$C$500,C444,$F$2:$F$500,F444,$H$2:$H$500,"Trade estimate"))</f>
        <v/>
      </c>
      <c r="M444" s="12" t="str">
        <f aca="false">IF(OR(J444="",J444&lt;2),"",IF(L444=0,"",(K444-L444)/L444))</f>
        <v/>
      </c>
      <c r="N444" s="13" t="str">
        <f aca="false">IF(B444="","",IF(J444&lt;2,"Needs 2+ trade sources",IF(M444&gt;Lists!$E$2,"CHECK","OK")))</f>
        <v/>
      </c>
      <c r="O444" s="9" t="str">
        <f aca="false">IF(B444="","",IF(J444&lt;2,"Needs 2+ trade sources",IF(M444&lt;=Lists!$E$6,"Good",IF(M444&lt;=Lists!$E$2,"Moderate","Bad"))))</f>
        <v/>
      </c>
    </row>
    <row r="445" customFormat="false" ht="14.25" hidden="false" customHeight="true" outlineLevel="0" collapsed="false">
      <c r="A445" s="6"/>
      <c r="B445" s="7"/>
      <c r="C445" s="8"/>
      <c r="D445" s="9" t="str">
        <f aca="false">IF(OR(B445="",C445=""),"",IFERROR(C445-INDEX(Films!$C$2:$C$100,MATCH(B445,Films!$A$2:$A$100,0))+1,""))</f>
        <v/>
      </c>
      <c r="E445" s="10"/>
      <c r="F445" s="7"/>
      <c r="G445" s="7"/>
      <c r="H445" s="7"/>
      <c r="I445" s="7"/>
      <c r="J445" s="9" t="str">
        <f aca="false">IF(B445="","",COUNTIFS($B$2:$B$500,B445,$C$2:$C$500,C445,$F$2:$F$500,F445,$H$2:$H$500,"Trade estimate"))</f>
        <v/>
      </c>
      <c r="K445" s="11" t="str">
        <f aca="false">IF(OR(J445="",J445=0),"",_xlfn.MAXIFS($E$2:$E$500,$B$2:$B$500,B445,$C$2:$C$500,C445,$F$2:$F$500,F445,$H$2:$H$500,"Trade estimate"))</f>
        <v/>
      </c>
      <c r="L445" s="11" t="str">
        <f aca="false">IF(OR(J445="",J445=0),"",_xlfn.MINIFS($E$2:$E$500,$B$2:$B$500,B445,$C$2:$C$500,C445,$F$2:$F$500,F445,$H$2:$H$500,"Trade estimate"))</f>
        <v/>
      </c>
      <c r="M445" s="12" t="str">
        <f aca="false">IF(OR(J445="",J445&lt;2),"",IF(L445=0,"",(K445-L445)/L445))</f>
        <v/>
      </c>
      <c r="N445" s="13" t="str">
        <f aca="false">IF(B445="","",IF(J445&lt;2,"Needs 2+ trade sources",IF(M445&gt;Lists!$E$2,"CHECK","OK")))</f>
        <v/>
      </c>
      <c r="O445" s="9" t="str">
        <f aca="false">IF(B445="","",IF(J445&lt;2,"Needs 2+ trade sources",IF(M445&lt;=Lists!$E$6,"Good",IF(M445&lt;=Lists!$E$2,"Moderate","Bad"))))</f>
        <v/>
      </c>
    </row>
    <row r="446" customFormat="false" ht="14.25" hidden="false" customHeight="true" outlineLevel="0" collapsed="false">
      <c r="A446" s="6"/>
      <c r="B446" s="7"/>
      <c r="C446" s="8"/>
      <c r="D446" s="9" t="str">
        <f aca="false">IF(OR(B446="",C446=""),"",IFERROR(C446-INDEX(Films!$C$2:$C$100,MATCH(B446,Films!$A$2:$A$100,0))+1,""))</f>
        <v/>
      </c>
      <c r="E446" s="10"/>
      <c r="F446" s="7"/>
      <c r="G446" s="7"/>
      <c r="H446" s="7"/>
      <c r="I446" s="7"/>
      <c r="J446" s="9" t="str">
        <f aca="false">IF(B446="","",COUNTIFS($B$2:$B$500,B446,$C$2:$C$500,C446,$F$2:$F$500,F446,$H$2:$H$500,"Trade estimate"))</f>
        <v/>
      </c>
      <c r="K446" s="11" t="str">
        <f aca="false">IF(OR(J446="",J446=0),"",_xlfn.MAXIFS($E$2:$E$500,$B$2:$B$500,B446,$C$2:$C$500,C446,$F$2:$F$500,F446,$H$2:$H$500,"Trade estimate"))</f>
        <v/>
      </c>
      <c r="L446" s="11" t="str">
        <f aca="false">IF(OR(J446="",J446=0),"",_xlfn.MINIFS($E$2:$E$500,$B$2:$B$500,B446,$C$2:$C$500,C446,$F$2:$F$500,F446,$H$2:$H$500,"Trade estimate"))</f>
        <v/>
      </c>
      <c r="M446" s="12" t="str">
        <f aca="false">IF(OR(J446="",J446&lt;2),"",IF(L446=0,"",(K446-L446)/L446))</f>
        <v/>
      </c>
      <c r="N446" s="13" t="str">
        <f aca="false">IF(B446="","",IF(J446&lt;2,"Needs 2+ trade sources",IF(M446&gt;Lists!$E$2,"CHECK","OK")))</f>
        <v/>
      </c>
      <c r="O446" s="9" t="str">
        <f aca="false">IF(B446="","",IF(J446&lt;2,"Needs 2+ trade sources",IF(M446&lt;=Lists!$E$6,"Good",IF(M446&lt;=Lists!$E$2,"Moderate","Bad"))))</f>
        <v/>
      </c>
    </row>
    <row r="447" customFormat="false" ht="14.25" hidden="false" customHeight="true" outlineLevel="0" collapsed="false">
      <c r="A447" s="6"/>
      <c r="B447" s="7"/>
      <c r="C447" s="8"/>
      <c r="D447" s="9" t="str">
        <f aca="false">IF(OR(B447="",C447=""),"",IFERROR(C447-INDEX(Films!$C$2:$C$100,MATCH(B447,Films!$A$2:$A$100,0))+1,""))</f>
        <v/>
      </c>
      <c r="E447" s="10"/>
      <c r="F447" s="7"/>
      <c r="G447" s="7"/>
      <c r="H447" s="7"/>
      <c r="I447" s="7"/>
      <c r="J447" s="9" t="str">
        <f aca="false">IF(B447="","",COUNTIFS($B$2:$B$500,B447,$C$2:$C$500,C447,$F$2:$F$500,F447,$H$2:$H$500,"Trade estimate"))</f>
        <v/>
      </c>
      <c r="K447" s="11" t="str">
        <f aca="false">IF(OR(J447="",J447=0),"",_xlfn.MAXIFS($E$2:$E$500,$B$2:$B$500,B447,$C$2:$C$500,C447,$F$2:$F$500,F447,$H$2:$H$500,"Trade estimate"))</f>
        <v/>
      </c>
      <c r="L447" s="11" t="str">
        <f aca="false">IF(OR(J447="",J447=0),"",_xlfn.MINIFS($E$2:$E$500,$B$2:$B$500,B447,$C$2:$C$500,C447,$F$2:$F$500,F447,$H$2:$H$500,"Trade estimate"))</f>
        <v/>
      </c>
      <c r="M447" s="12" t="str">
        <f aca="false">IF(OR(J447="",J447&lt;2),"",IF(L447=0,"",(K447-L447)/L447))</f>
        <v/>
      </c>
      <c r="N447" s="13" t="str">
        <f aca="false">IF(B447="","",IF(J447&lt;2,"Needs 2+ trade sources",IF(M447&gt;Lists!$E$2,"CHECK","OK")))</f>
        <v/>
      </c>
      <c r="O447" s="9" t="str">
        <f aca="false">IF(B447="","",IF(J447&lt;2,"Needs 2+ trade sources",IF(M447&lt;=Lists!$E$6,"Good",IF(M447&lt;=Lists!$E$2,"Moderate","Bad"))))</f>
        <v/>
      </c>
    </row>
    <row r="448" customFormat="false" ht="14.25" hidden="false" customHeight="true" outlineLevel="0" collapsed="false">
      <c r="A448" s="6"/>
      <c r="B448" s="7"/>
      <c r="C448" s="8"/>
      <c r="D448" s="9" t="str">
        <f aca="false">IF(OR(B448="",C448=""),"",IFERROR(C448-INDEX(Films!$C$2:$C$100,MATCH(B448,Films!$A$2:$A$100,0))+1,""))</f>
        <v/>
      </c>
      <c r="E448" s="10"/>
      <c r="F448" s="7"/>
      <c r="G448" s="7"/>
      <c r="H448" s="7"/>
      <c r="I448" s="7"/>
      <c r="J448" s="9" t="str">
        <f aca="false">IF(B448="","",COUNTIFS($B$2:$B$500,B448,$C$2:$C$500,C448,$F$2:$F$500,F448,$H$2:$H$500,"Trade estimate"))</f>
        <v/>
      </c>
      <c r="K448" s="11" t="str">
        <f aca="false">IF(OR(J448="",J448=0),"",_xlfn.MAXIFS($E$2:$E$500,$B$2:$B$500,B448,$C$2:$C$500,C448,$F$2:$F$500,F448,$H$2:$H$500,"Trade estimate"))</f>
        <v/>
      </c>
      <c r="L448" s="11" t="str">
        <f aca="false">IF(OR(J448="",J448=0),"",_xlfn.MINIFS($E$2:$E$500,$B$2:$B$500,B448,$C$2:$C$500,C448,$F$2:$F$500,F448,$H$2:$H$500,"Trade estimate"))</f>
        <v/>
      </c>
      <c r="M448" s="12" t="str">
        <f aca="false">IF(OR(J448="",J448&lt;2),"",IF(L448=0,"",(K448-L448)/L448))</f>
        <v/>
      </c>
      <c r="N448" s="13" t="str">
        <f aca="false">IF(B448="","",IF(J448&lt;2,"Needs 2+ trade sources",IF(M448&gt;Lists!$E$2,"CHECK","OK")))</f>
        <v/>
      </c>
      <c r="O448" s="9" t="str">
        <f aca="false">IF(B448="","",IF(J448&lt;2,"Needs 2+ trade sources",IF(M448&lt;=Lists!$E$6,"Good",IF(M448&lt;=Lists!$E$2,"Moderate","Bad"))))</f>
        <v/>
      </c>
    </row>
    <row r="449" customFormat="false" ht="14.25" hidden="false" customHeight="true" outlineLevel="0" collapsed="false">
      <c r="A449" s="6"/>
      <c r="B449" s="7"/>
      <c r="C449" s="8"/>
      <c r="D449" s="9" t="str">
        <f aca="false">IF(OR(B449="",C449=""),"",IFERROR(C449-INDEX(Films!$C$2:$C$100,MATCH(B449,Films!$A$2:$A$100,0))+1,""))</f>
        <v/>
      </c>
      <c r="E449" s="10"/>
      <c r="F449" s="7"/>
      <c r="G449" s="7"/>
      <c r="H449" s="7"/>
      <c r="I449" s="7"/>
      <c r="J449" s="9" t="str">
        <f aca="false">IF(B449="","",COUNTIFS($B$2:$B$500,B449,$C$2:$C$500,C449,$F$2:$F$500,F449,$H$2:$H$500,"Trade estimate"))</f>
        <v/>
      </c>
      <c r="K449" s="11" t="str">
        <f aca="false">IF(OR(J449="",J449=0),"",_xlfn.MAXIFS($E$2:$E$500,$B$2:$B$500,B449,$C$2:$C$500,C449,$F$2:$F$500,F449,$H$2:$H$500,"Trade estimate"))</f>
        <v/>
      </c>
      <c r="L449" s="11" t="str">
        <f aca="false">IF(OR(J449="",J449=0),"",_xlfn.MINIFS($E$2:$E$500,$B$2:$B$500,B449,$C$2:$C$500,C449,$F$2:$F$500,F449,$H$2:$H$500,"Trade estimate"))</f>
        <v/>
      </c>
      <c r="M449" s="12" t="str">
        <f aca="false">IF(OR(J449="",J449&lt;2),"",IF(L449=0,"",(K449-L449)/L449))</f>
        <v/>
      </c>
      <c r="N449" s="13" t="str">
        <f aca="false">IF(B449="","",IF(J449&lt;2,"Needs 2+ trade sources",IF(M449&gt;Lists!$E$2,"CHECK","OK")))</f>
        <v/>
      </c>
      <c r="O449" s="9" t="str">
        <f aca="false">IF(B449="","",IF(J449&lt;2,"Needs 2+ trade sources",IF(M449&lt;=Lists!$E$6,"Good",IF(M449&lt;=Lists!$E$2,"Moderate","Bad"))))</f>
        <v/>
      </c>
    </row>
    <row r="450" customFormat="false" ht="14.25" hidden="false" customHeight="true" outlineLevel="0" collapsed="false">
      <c r="A450" s="6"/>
      <c r="B450" s="7"/>
      <c r="C450" s="8"/>
      <c r="D450" s="9" t="str">
        <f aca="false">IF(OR(B450="",C450=""),"",IFERROR(C450-INDEX(Films!$C$2:$C$100,MATCH(B450,Films!$A$2:$A$100,0))+1,""))</f>
        <v/>
      </c>
      <c r="E450" s="10"/>
      <c r="F450" s="7"/>
      <c r="G450" s="7"/>
      <c r="H450" s="7"/>
      <c r="I450" s="7"/>
      <c r="J450" s="9" t="str">
        <f aca="false">IF(B450="","",COUNTIFS($B$2:$B$500,B450,$C$2:$C$500,C450,$F$2:$F$500,F450,$H$2:$H$500,"Trade estimate"))</f>
        <v/>
      </c>
      <c r="K450" s="11" t="str">
        <f aca="false">IF(OR(J450="",J450=0),"",_xlfn.MAXIFS($E$2:$E$500,$B$2:$B$500,B450,$C$2:$C$500,C450,$F$2:$F$500,F450,$H$2:$H$500,"Trade estimate"))</f>
        <v/>
      </c>
      <c r="L450" s="11" t="str">
        <f aca="false">IF(OR(J450="",J450=0),"",_xlfn.MINIFS($E$2:$E$500,$B$2:$B$500,B450,$C$2:$C$500,C450,$F$2:$F$500,F450,$H$2:$H$500,"Trade estimate"))</f>
        <v/>
      </c>
      <c r="M450" s="12" t="str">
        <f aca="false">IF(OR(J450="",J450&lt;2),"",IF(L450=0,"",(K450-L450)/L450))</f>
        <v/>
      </c>
      <c r="N450" s="13" t="str">
        <f aca="false">IF(B450="","",IF(J450&lt;2,"Needs 2+ trade sources",IF(M450&gt;Lists!$E$2,"CHECK","OK")))</f>
        <v/>
      </c>
      <c r="O450" s="9" t="str">
        <f aca="false">IF(B450="","",IF(J450&lt;2,"Needs 2+ trade sources",IF(M450&lt;=Lists!$E$6,"Good",IF(M450&lt;=Lists!$E$2,"Moderate","Bad"))))</f>
        <v/>
      </c>
    </row>
    <row r="451" customFormat="false" ht="14.25" hidden="false" customHeight="true" outlineLevel="0" collapsed="false">
      <c r="A451" s="6"/>
      <c r="B451" s="7"/>
      <c r="C451" s="8"/>
      <c r="D451" s="9" t="str">
        <f aca="false">IF(OR(B451="",C451=""),"",IFERROR(C451-INDEX(Films!$C$2:$C$100,MATCH(B451,Films!$A$2:$A$100,0))+1,""))</f>
        <v/>
      </c>
      <c r="E451" s="10"/>
      <c r="F451" s="7"/>
      <c r="G451" s="7"/>
      <c r="H451" s="7"/>
      <c r="I451" s="7"/>
      <c r="J451" s="9" t="str">
        <f aca="false">IF(B451="","",COUNTIFS($B$2:$B$500,B451,$C$2:$C$500,C451,$F$2:$F$500,F451,$H$2:$H$500,"Trade estimate"))</f>
        <v/>
      </c>
      <c r="K451" s="11" t="str">
        <f aca="false">IF(OR(J451="",J451=0),"",_xlfn.MAXIFS($E$2:$E$500,$B$2:$B$500,B451,$C$2:$C$500,C451,$F$2:$F$500,F451,$H$2:$H$500,"Trade estimate"))</f>
        <v/>
      </c>
      <c r="L451" s="11" t="str">
        <f aca="false">IF(OR(J451="",J451=0),"",_xlfn.MINIFS($E$2:$E$500,$B$2:$B$500,B451,$C$2:$C$500,C451,$F$2:$F$500,F451,$H$2:$H$500,"Trade estimate"))</f>
        <v/>
      </c>
      <c r="M451" s="12" t="str">
        <f aca="false">IF(OR(J451="",J451&lt;2),"",IF(L451=0,"",(K451-L451)/L451))</f>
        <v/>
      </c>
      <c r="N451" s="13" t="str">
        <f aca="false">IF(B451="","",IF(J451&lt;2,"Needs 2+ trade sources",IF(M451&gt;Lists!$E$2,"CHECK","OK")))</f>
        <v/>
      </c>
      <c r="O451" s="9" t="str">
        <f aca="false">IF(B451="","",IF(J451&lt;2,"Needs 2+ trade sources",IF(M451&lt;=Lists!$E$6,"Good",IF(M451&lt;=Lists!$E$2,"Moderate","Bad"))))</f>
        <v/>
      </c>
    </row>
    <row r="452" customFormat="false" ht="14.25" hidden="false" customHeight="true" outlineLevel="0" collapsed="false">
      <c r="A452" s="6"/>
      <c r="B452" s="7"/>
      <c r="C452" s="8"/>
      <c r="D452" s="9" t="str">
        <f aca="false">IF(OR(B452="",C452=""),"",IFERROR(C452-INDEX(Films!$C$2:$C$100,MATCH(B452,Films!$A$2:$A$100,0))+1,""))</f>
        <v/>
      </c>
      <c r="E452" s="10"/>
      <c r="F452" s="7"/>
      <c r="G452" s="7"/>
      <c r="H452" s="7"/>
      <c r="I452" s="7"/>
      <c r="J452" s="9" t="str">
        <f aca="false">IF(B452="","",COUNTIFS($B$2:$B$500,B452,$C$2:$C$500,C452,$F$2:$F$500,F452,$H$2:$H$500,"Trade estimate"))</f>
        <v/>
      </c>
      <c r="K452" s="11" t="str">
        <f aca="false">IF(OR(J452="",J452=0),"",_xlfn.MAXIFS($E$2:$E$500,$B$2:$B$500,B452,$C$2:$C$500,C452,$F$2:$F$500,F452,$H$2:$H$500,"Trade estimate"))</f>
        <v/>
      </c>
      <c r="L452" s="11" t="str">
        <f aca="false">IF(OR(J452="",J452=0),"",_xlfn.MINIFS($E$2:$E$500,$B$2:$B$500,B452,$C$2:$C$500,C452,$F$2:$F$500,F452,$H$2:$H$500,"Trade estimate"))</f>
        <v/>
      </c>
      <c r="M452" s="12" t="str">
        <f aca="false">IF(OR(J452="",J452&lt;2),"",IF(L452=0,"",(K452-L452)/L452))</f>
        <v/>
      </c>
      <c r="N452" s="13" t="str">
        <f aca="false">IF(B452="","",IF(J452&lt;2,"Needs 2+ trade sources",IF(M452&gt;Lists!$E$2,"CHECK","OK")))</f>
        <v/>
      </c>
      <c r="O452" s="9" t="str">
        <f aca="false">IF(B452="","",IF(J452&lt;2,"Needs 2+ trade sources",IF(M452&lt;=Lists!$E$6,"Good",IF(M452&lt;=Lists!$E$2,"Moderate","Bad"))))</f>
        <v/>
      </c>
    </row>
    <row r="453" customFormat="false" ht="14.25" hidden="false" customHeight="true" outlineLevel="0" collapsed="false">
      <c r="A453" s="6"/>
      <c r="B453" s="7"/>
      <c r="C453" s="8"/>
      <c r="D453" s="9" t="str">
        <f aca="false">IF(OR(B453="",C453=""),"",IFERROR(C453-INDEX(Films!$C$2:$C$100,MATCH(B453,Films!$A$2:$A$100,0))+1,""))</f>
        <v/>
      </c>
      <c r="E453" s="10"/>
      <c r="F453" s="7"/>
      <c r="G453" s="7"/>
      <c r="H453" s="7"/>
      <c r="I453" s="7"/>
      <c r="J453" s="9" t="str">
        <f aca="false">IF(B453="","",COUNTIFS($B$2:$B$500,B453,$C$2:$C$500,C453,$F$2:$F$500,F453,$H$2:$H$500,"Trade estimate"))</f>
        <v/>
      </c>
      <c r="K453" s="11" t="str">
        <f aca="false">IF(OR(J453="",J453=0),"",_xlfn.MAXIFS($E$2:$E$500,$B$2:$B$500,B453,$C$2:$C$500,C453,$F$2:$F$500,F453,$H$2:$H$500,"Trade estimate"))</f>
        <v/>
      </c>
      <c r="L453" s="11" t="str">
        <f aca="false">IF(OR(J453="",J453=0),"",_xlfn.MINIFS($E$2:$E$500,$B$2:$B$500,B453,$C$2:$C$500,C453,$F$2:$F$500,F453,$H$2:$H$500,"Trade estimate"))</f>
        <v/>
      </c>
      <c r="M453" s="12" t="str">
        <f aca="false">IF(OR(J453="",J453&lt;2),"",IF(L453=0,"",(K453-L453)/L453))</f>
        <v/>
      </c>
      <c r="N453" s="13" t="str">
        <f aca="false">IF(B453="","",IF(J453&lt;2,"Needs 2+ trade sources",IF(M453&gt;Lists!$E$2,"CHECK","OK")))</f>
        <v/>
      </c>
      <c r="O453" s="9" t="str">
        <f aca="false">IF(B453="","",IF(J453&lt;2,"Needs 2+ trade sources",IF(M453&lt;=Lists!$E$6,"Good",IF(M453&lt;=Lists!$E$2,"Moderate","Bad"))))</f>
        <v/>
      </c>
    </row>
    <row r="454" customFormat="false" ht="14.25" hidden="false" customHeight="true" outlineLevel="0" collapsed="false">
      <c r="A454" s="6"/>
      <c r="B454" s="7"/>
      <c r="C454" s="8"/>
      <c r="D454" s="9" t="str">
        <f aca="false">IF(OR(B454="",C454=""),"",IFERROR(C454-INDEX(Films!$C$2:$C$100,MATCH(B454,Films!$A$2:$A$100,0))+1,""))</f>
        <v/>
      </c>
      <c r="E454" s="10"/>
      <c r="F454" s="7"/>
      <c r="G454" s="7"/>
      <c r="H454" s="7"/>
      <c r="I454" s="7"/>
      <c r="J454" s="9" t="str">
        <f aca="false">IF(B454="","",COUNTIFS($B$2:$B$500,B454,$C$2:$C$500,C454,$F$2:$F$500,F454,$H$2:$H$500,"Trade estimate"))</f>
        <v/>
      </c>
      <c r="K454" s="11" t="str">
        <f aca="false">IF(OR(J454="",J454=0),"",_xlfn.MAXIFS($E$2:$E$500,$B$2:$B$500,B454,$C$2:$C$500,C454,$F$2:$F$500,F454,$H$2:$H$500,"Trade estimate"))</f>
        <v/>
      </c>
      <c r="L454" s="11" t="str">
        <f aca="false">IF(OR(J454="",J454=0),"",_xlfn.MINIFS($E$2:$E$500,$B$2:$B$500,B454,$C$2:$C$500,C454,$F$2:$F$500,F454,$H$2:$H$500,"Trade estimate"))</f>
        <v/>
      </c>
      <c r="M454" s="12" t="str">
        <f aca="false">IF(OR(J454="",J454&lt;2),"",IF(L454=0,"",(K454-L454)/L454))</f>
        <v/>
      </c>
      <c r="N454" s="13" t="str">
        <f aca="false">IF(B454="","",IF(J454&lt;2,"Needs 2+ trade sources",IF(M454&gt;Lists!$E$2,"CHECK","OK")))</f>
        <v/>
      </c>
      <c r="O454" s="9" t="str">
        <f aca="false">IF(B454="","",IF(J454&lt;2,"Needs 2+ trade sources",IF(M454&lt;=Lists!$E$6,"Good",IF(M454&lt;=Lists!$E$2,"Moderate","Bad"))))</f>
        <v/>
      </c>
    </row>
    <row r="455" customFormat="false" ht="14.25" hidden="false" customHeight="true" outlineLevel="0" collapsed="false">
      <c r="A455" s="6"/>
      <c r="B455" s="7"/>
      <c r="C455" s="8"/>
      <c r="D455" s="9" t="str">
        <f aca="false">IF(OR(B455="",C455=""),"",IFERROR(C455-INDEX(Films!$C$2:$C$100,MATCH(B455,Films!$A$2:$A$100,0))+1,""))</f>
        <v/>
      </c>
      <c r="E455" s="10"/>
      <c r="F455" s="7"/>
      <c r="G455" s="7"/>
      <c r="H455" s="7"/>
      <c r="I455" s="7"/>
      <c r="J455" s="9" t="str">
        <f aca="false">IF(B455="","",COUNTIFS($B$2:$B$500,B455,$C$2:$C$500,C455,$F$2:$F$500,F455,$H$2:$H$500,"Trade estimate"))</f>
        <v/>
      </c>
      <c r="K455" s="11" t="str">
        <f aca="false">IF(OR(J455="",J455=0),"",_xlfn.MAXIFS($E$2:$E$500,$B$2:$B$500,B455,$C$2:$C$500,C455,$F$2:$F$500,F455,$H$2:$H$500,"Trade estimate"))</f>
        <v/>
      </c>
      <c r="L455" s="11" t="str">
        <f aca="false">IF(OR(J455="",J455=0),"",_xlfn.MINIFS($E$2:$E$500,$B$2:$B$500,B455,$C$2:$C$500,C455,$F$2:$F$500,F455,$H$2:$H$500,"Trade estimate"))</f>
        <v/>
      </c>
      <c r="M455" s="12" t="str">
        <f aca="false">IF(OR(J455="",J455&lt;2),"",IF(L455=0,"",(K455-L455)/L455))</f>
        <v/>
      </c>
      <c r="N455" s="13" t="str">
        <f aca="false">IF(B455="","",IF(J455&lt;2,"Needs 2+ trade sources",IF(M455&gt;Lists!$E$2,"CHECK","OK")))</f>
        <v/>
      </c>
      <c r="O455" s="9" t="str">
        <f aca="false">IF(B455="","",IF(J455&lt;2,"Needs 2+ trade sources",IF(M455&lt;=Lists!$E$6,"Good",IF(M455&lt;=Lists!$E$2,"Moderate","Bad"))))</f>
        <v/>
      </c>
    </row>
    <row r="456" customFormat="false" ht="14.25" hidden="false" customHeight="true" outlineLevel="0" collapsed="false">
      <c r="A456" s="6"/>
      <c r="B456" s="7"/>
      <c r="C456" s="8"/>
      <c r="D456" s="9" t="str">
        <f aca="false">IF(OR(B456="",C456=""),"",IFERROR(C456-INDEX(Films!$C$2:$C$100,MATCH(B456,Films!$A$2:$A$100,0))+1,""))</f>
        <v/>
      </c>
      <c r="E456" s="10"/>
      <c r="F456" s="7"/>
      <c r="G456" s="7"/>
      <c r="H456" s="7"/>
      <c r="I456" s="7"/>
      <c r="J456" s="9" t="str">
        <f aca="false">IF(B456="","",COUNTIFS($B$2:$B$500,B456,$C$2:$C$500,C456,$F$2:$F$500,F456,$H$2:$H$500,"Trade estimate"))</f>
        <v/>
      </c>
      <c r="K456" s="11" t="str">
        <f aca="false">IF(OR(J456="",J456=0),"",_xlfn.MAXIFS($E$2:$E$500,$B$2:$B$500,B456,$C$2:$C$500,C456,$F$2:$F$500,F456,$H$2:$H$500,"Trade estimate"))</f>
        <v/>
      </c>
      <c r="L456" s="11" t="str">
        <f aca="false">IF(OR(J456="",J456=0),"",_xlfn.MINIFS($E$2:$E$500,$B$2:$B$500,B456,$C$2:$C$500,C456,$F$2:$F$500,F456,$H$2:$H$500,"Trade estimate"))</f>
        <v/>
      </c>
      <c r="M456" s="12" t="str">
        <f aca="false">IF(OR(J456="",J456&lt;2),"",IF(L456=0,"",(K456-L456)/L456))</f>
        <v/>
      </c>
      <c r="N456" s="13" t="str">
        <f aca="false">IF(B456="","",IF(J456&lt;2,"Needs 2+ trade sources",IF(M456&gt;Lists!$E$2,"CHECK","OK")))</f>
        <v/>
      </c>
      <c r="O456" s="9" t="str">
        <f aca="false">IF(B456="","",IF(J456&lt;2,"Needs 2+ trade sources",IF(M456&lt;=Lists!$E$6,"Good",IF(M456&lt;=Lists!$E$2,"Moderate","Bad"))))</f>
        <v/>
      </c>
    </row>
    <row r="457" customFormat="false" ht="14.25" hidden="false" customHeight="true" outlineLevel="0" collapsed="false">
      <c r="A457" s="6"/>
      <c r="B457" s="7"/>
      <c r="C457" s="8"/>
      <c r="D457" s="9" t="str">
        <f aca="false">IF(OR(B457="",C457=""),"",IFERROR(C457-INDEX(Films!$C$2:$C$100,MATCH(B457,Films!$A$2:$A$100,0))+1,""))</f>
        <v/>
      </c>
      <c r="E457" s="10"/>
      <c r="F457" s="7"/>
      <c r="G457" s="7"/>
      <c r="H457" s="7"/>
      <c r="I457" s="7"/>
      <c r="J457" s="9" t="str">
        <f aca="false">IF(B457="","",COUNTIFS($B$2:$B$500,B457,$C$2:$C$500,C457,$F$2:$F$500,F457,$H$2:$H$500,"Trade estimate"))</f>
        <v/>
      </c>
      <c r="K457" s="11" t="str">
        <f aca="false">IF(OR(J457="",J457=0),"",_xlfn.MAXIFS($E$2:$E$500,$B$2:$B$500,B457,$C$2:$C$500,C457,$F$2:$F$500,F457,$H$2:$H$500,"Trade estimate"))</f>
        <v/>
      </c>
      <c r="L457" s="11" t="str">
        <f aca="false">IF(OR(J457="",J457=0),"",_xlfn.MINIFS($E$2:$E$500,$B$2:$B$500,B457,$C$2:$C$500,C457,$F$2:$F$500,F457,$H$2:$H$500,"Trade estimate"))</f>
        <v/>
      </c>
      <c r="M457" s="12" t="str">
        <f aca="false">IF(OR(J457="",J457&lt;2),"",IF(L457=0,"",(K457-L457)/L457))</f>
        <v/>
      </c>
      <c r="N457" s="13" t="str">
        <f aca="false">IF(B457="","",IF(J457&lt;2,"Needs 2+ trade sources",IF(M457&gt;Lists!$E$2,"CHECK","OK")))</f>
        <v/>
      </c>
      <c r="O457" s="9" t="str">
        <f aca="false">IF(B457="","",IF(J457&lt;2,"Needs 2+ trade sources",IF(M457&lt;=Lists!$E$6,"Good",IF(M457&lt;=Lists!$E$2,"Moderate","Bad"))))</f>
        <v/>
      </c>
    </row>
    <row r="458" customFormat="false" ht="14.25" hidden="false" customHeight="true" outlineLevel="0" collapsed="false">
      <c r="A458" s="6"/>
      <c r="B458" s="7"/>
      <c r="C458" s="8"/>
      <c r="D458" s="9" t="str">
        <f aca="false">IF(OR(B458="",C458=""),"",IFERROR(C458-INDEX(Films!$C$2:$C$100,MATCH(B458,Films!$A$2:$A$100,0))+1,""))</f>
        <v/>
      </c>
      <c r="E458" s="10"/>
      <c r="F458" s="7"/>
      <c r="G458" s="7"/>
      <c r="H458" s="7"/>
      <c r="I458" s="7"/>
      <c r="J458" s="9" t="str">
        <f aca="false">IF(B458="","",COUNTIFS($B$2:$B$500,B458,$C$2:$C$500,C458,$F$2:$F$500,F458,$H$2:$H$500,"Trade estimate"))</f>
        <v/>
      </c>
      <c r="K458" s="11" t="str">
        <f aca="false">IF(OR(J458="",J458=0),"",_xlfn.MAXIFS($E$2:$E$500,$B$2:$B$500,B458,$C$2:$C$500,C458,$F$2:$F$500,F458,$H$2:$H$500,"Trade estimate"))</f>
        <v/>
      </c>
      <c r="L458" s="11" t="str">
        <f aca="false">IF(OR(J458="",J458=0),"",_xlfn.MINIFS($E$2:$E$500,$B$2:$B$500,B458,$C$2:$C$500,C458,$F$2:$F$500,F458,$H$2:$H$500,"Trade estimate"))</f>
        <v/>
      </c>
      <c r="M458" s="12" t="str">
        <f aca="false">IF(OR(J458="",J458&lt;2),"",IF(L458=0,"",(K458-L458)/L458))</f>
        <v/>
      </c>
      <c r="N458" s="13" t="str">
        <f aca="false">IF(B458="","",IF(J458&lt;2,"Needs 2+ trade sources",IF(M458&gt;Lists!$E$2,"CHECK","OK")))</f>
        <v/>
      </c>
      <c r="O458" s="9" t="str">
        <f aca="false">IF(B458="","",IF(J458&lt;2,"Needs 2+ trade sources",IF(M458&lt;=Lists!$E$6,"Good",IF(M458&lt;=Lists!$E$2,"Moderate","Bad"))))</f>
        <v/>
      </c>
    </row>
    <row r="459" customFormat="false" ht="14.25" hidden="false" customHeight="true" outlineLevel="0" collapsed="false">
      <c r="A459" s="6"/>
      <c r="B459" s="7"/>
      <c r="C459" s="8"/>
      <c r="D459" s="9" t="str">
        <f aca="false">IF(OR(B459="",C459=""),"",IFERROR(C459-INDEX(Films!$C$2:$C$100,MATCH(B459,Films!$A$2:$A$100,0))+1,""))</f>
        <v/>
      </c>
      <c r="E459" s="10"/>
      <c r="F459" s="7"/>
      <c r="G459" s="7"/>
      <c r="H459" s="7"/>
      <c r="I459" s="7"/>
      <c r="J459" s="9" t="str">
        <f aca="false">IF(B459="","",COUNTIFS($B$2:$B$500,B459,$C$2:$C$500,C459,$F$2:$F$500,F459,$H$2:$H$500,"Trade estimate"))</f>
        <v/>
      </c>
      <c r="K459" s="11" t="str">
        <f aca="false">IF(OR(J459="",J459=0),"",_xlfn.MAXIFS($E$2:$E$500,$B$2:$B$500,B459,$C$2:$C$500,C459,$F$2:$F$500,F459,$H$2:$H$500,"Trade estimate"))</f>
        <v/>
      </c>
      <c r="L459" s="11" t="str">
        <f aca="false">IF(OR(J459="",J459=0),"",_xlfn.MINIFS($E$2:$E$500,$B$2:$B$500,B459,$C$2:$C$500,C459,$F$2:$F$500,F459,$H$2:$H$500,"Trade estimate"))</f>
        <v/>
      </c>
      <c r="M459" s="12" t="str">
        <f aca="false">IF(OR(J459="",J459&lt;2),"",IF(L459=0,"",(K459-L459)/L459))</f>
        <v/>
      </c>
      <c r="N459" s="13" t="str">
        <f aca="false">IF(B459="","",IF(J459&lt;2,"Needs 2+ trade sources",IF(M459&gt;Lists!$E$2,"CHECK","OK")))</f>
        <v/>
      </c>
      <c r="O459" s="9" t="str">
        <f aca="false">IF(B459="","",IF(J459&lt;2,"Needs 2+ trade sources",IF(M459&lt;=Lists!$E$6,"Good",IF(M459&lt;=Lists!$E$2,"Moderate","Bad"))))</f>
        <v/>
      </c>
    </row>
    <row r="460" customFormat="false" ht="14.25" hidden="false" customHeight="true" outlineLevel="0" collapsed="false">
      <c r="A460" s="6"/>
      <c r="B460" s="7"/>
      <c r="C460" s="8"/>
      <c r="D460" s="9" t="str">
        <f aca="false">IF(OR(B460="",C460=""),"",IFERROR(C460-INDEX(Films!$C$2:$C$100,MATCH(B460,Films!$A$2:$A$100,0))+1,""))</f>
        <v/>
      </c>
      <c r="E460" s="10"/>
      <c r="F460" s="7"/>
      <c r="G460" s="7"/>
      <c r="H460" s="7"/>
      <c r="I460" s="7"/>
      <c r="J460" s="9" t="str">
        <f aca="false">IF(B460="","",COUNTIFS($B$2:$B$500,B460,$C$2:$C$500,C460,$F$2:$F$500,F460,$H$2:$H$500,"Trade estimate"))</f>
        <v/>
      </c>
      <c r="K460" s="11" t="str">
        <f aca="false">IF(OR(J460="",J460=0),"",_xlfn.MAXIFS($E$2:$E$500,$B$2:$B$500,B460,$C$2:$C$500,C460,$F$2:$F$500,F460,$H$2:$H$500,"Trade estimate"))</f>
        <v/>
      </c>
      <c r="L460" s="11" t="str">
        <f aca="false">IF(OR(J460="",J460=0),"",_xlfn.MINIFS($E$2:$E$500,$B$2:$B$500,B460,$C$2:$C$500,C460,$F$2:$F$500,F460,$H$2:$H$500,"Trade estimate"))</f>
        <v/>
      </c>
      <c r="M460" s="12" t="str">
        <f aca="false">IF(OR(J460="",J460&lt;2),"",IF(L460=0,"",(K460-L460)/L460))</f>
        <v/>
      </c>
      <c r="N460" s="13" t="str">
        <f aca="false">IF(B460="","",IF(J460&lt;2,"Needs 2+ trade sources",IF(M460&gt;Lists!$E$2,"CHECK","OK")))</f>
        <v/>
      </c>
      <c r="O460" s="9" t="str">
        <f aca="false">IF(B460="","",IF(J460&lt;2,"Needs 2+ trade sources",IF(M460&lt;=Lists!$E$6,"Good",IF(M460&lt;=Lists!$E$2,"Moderate","Bad"))))</f>
        <v/>
      </c>
    </row>
    <row r="461" customFormat="false" ht="14.25" hidden="false" customHeight="true" outlineLevel="0" collapsed="false">
      <c r="A461" s="6"/>
      <c r="B461" s="7"/>
      <c r="C461" s="8"/>
      <c r="D461" s="9" t="str">
        <f aca="false">IF(OR(B461="",C461=""),"",IFERROR(C461-INDEX(Films!$C$2:$C$100,MATCH(B461,Films!$A$2:$A$100,0))+1,""))</f>
        <v/>
      </c>
      <c r="E461" s="10"/>
      <c r="F461" s="7"/>
      <c r="G461" s="7"/>
      <c r="H461" s="7"/>
      <c r="I461" s="7"/>
      <c r="J461" s="9" t="str">
        <f aca="false">IF(B461="","",COUNTIFS($B$2:$B$500,B461,$C$2:$C$500,C461,$F$2:$F$500,F461,$H$2:$H$500,"Trade estimate"))</f>
        <v/>
      </c>
      <c r="K461" s="11" t="str">
        <f aca="false">IF(OR(J461="",J461=0),"",_xlfn.MAXIFS($E$2:$E$500,$B$2:$B$500,B461,$C$2:$C$500,C461,$F$2:$F$500,F461,$H$2:$H$500,"Trade estimate"))</f>
        <v/>
      </c>
      <c r="L461" s="11" t="str">
        <f aca="false">IF(OR(J461="",J461=0),"",_xlfn.MINIFS($E$2:$E$500,$B$2:$B$500,B461,$C$2:$C$500,C461,$F$2:$F$500,F461,$H$2:$H$500,"Trade estimate"))</f>
        <v/>
      </c>
      <c r="M461" s="12" t="str">
        <f aca="false">IF(OR(J461="",J461&lt;2),"",IF(L461=0,"",(K461-L461)/L461))</f>
        <v/>
      </c>
      <c r="N461" s="13" t="str">
        <f aca="false">IF(B461="","",IF(J461&lt;2,"Needs 2+ trade sources",IF(M461&gt;Lists!$E$2,"CHECK","OK")))</f>
        <v/>
      </c>
      <c r="O461" s="9" t="str">
        <f aca="false">IF(B461="","",IF(J461&lt;2,"Needs 2+ trade sources",IF(M461&lt;=Lists!$E$6,"Good",IF(M461&lt;=Lists!$E$2,"Moderate","Bad"))))</f>
        <v/>
      </c>
    </row>
    <row r="462" customFormat="false" ht="14.25" hidden="false" customHeight="true" outlineLevel="0" collapsed="false">
      <c r="A462" s="6"/>
      <c r="B462" s="7"/>
      <c r="C462" s="8"/>
      <c r="D462" s="9" t="str">
        <f aca="false">IF(OR(B462="",C462=""),"",IFERROR(C462-INDEX(Films!$C$2:$C$100,MATCH(B462,Films!$A$2:$A$100,0))+1,""))</f>
        <v/>
      </c>
      <c r="E462" s="10"/>
      <c r="F462" s="7"/>
      <c r="G462" s="7"/>
      <c r="H462" s="7"/>
      <c r="I462" s="7"/>
      <c r="J462" s="9" t="str">
        <f aca="false">IF(B462="","",COUNTIFS($B$2:$B$500,B462,$C$2:$C$500,C462,$F$2:$F$500,F462,$H$2:$H$500,"Trade estimate"))</f>
        <v/>
      </c>
      <c r="K462" s="11" t="str">
        <f aca="false">IF(OR(J462="",J462=0),"",_xlfn.MAXIFS($E$2:$E$500,$B$2:$B$500,B462,$C$2:$C$500,C462,$F$2:$F$500,F462,$H$2:$H$500,"Trade estimate"))</f>
        <v/>
      </c>
      <c r="L462" s="11" t="str">
        <f aca="false">IF(OR(J462="",J462=0),"",_xlfn.MINIFS($E$2:$E$500,$B$2:$B$500,B462,$C$2:$C$500,C462,$F$2:$F$500,F462,$H$2:$H$500,"Trade estimate"))</f>
        <v/>
      </c>
      <c r="M462" s="12" t="str">
        <f aca="false">IF(OR(J462="",J462&lt;2),"",IF(L462=0,"",(K462-L462)/L462))</f>
        <v/>
      </c>
      <c r="N462" s="13" t="str">
        <f aca="false">IF(B462="","",IF(J462&lt;2,"Needs 2+ trade sources",IF(M462&gt;Lists!$E$2,"CHECK","OK")))</f>
        <v/>
      </c>
      <c r="O462" s="9" t="str">
        <f aca="false">IF(B462="","",IF(J462&lt;2,"Needs 2+ trade sources",IF(M462&lt;=Lists!$E$6,"Good",IF(M462&lt;=Lists!$E$2,"Moderate","Bad"))))</f>
        <v/>
      </c>
    </row>
    <row r="463" customFormat="false" ht="14.25" hidden="false" customHeight="true" outlineLevel="0" collapsed="false">
      <c r="A463" s="6"/>
      <c r="B463" s="7"/>
      <c r="C463" s="8"/>
      <c r="D463" s="9" t="str">
        <f aca="false">IF(OR(B463="",C463=""),"",IFERROR(C463-INDEX(Films!$C$2:$C$100,MATCH(B463,Films!$A$2:$A$100,0))+1,""))</f>
        <v/>
      </c>
      <c r="E463" s="10"/>
      <c r="F463" s="7"/>
      <c r="G463" s="7"/>
      <c r="H463" s="7"/>
      <c r="I463" s="7"/>
      <c r="J463" s="9" t="str">
        <f aca="false">IF(B463="","",COUNTIFS($B$2:$B$500,B463,$C$2:$C$500,C463,$F$2:$F$500,F463,$H$2:$H$500,"Trade estimate"))</f>
        <v/>
      </c>
      <c r="K463" s="11" t="str">
        <f aca="false">IF(OR(J463="",J463=0),"",_xlfn.MAXIFS($E$2:$E$500,$B$2:$B$500,B463,$C$2:$C$500,C463,$F$2:$F$500,F463,$H$2:$H$500,"Trade estimate"))</f>
        <v/>
      </c>
      <c r="L463" s="11" t="str">
        <f aca="false">IF(OR(J463="",J463=0),"",_xlfn.MINIFS($E$2:$E$500,$B$2:$B$500,B463,$C$2:$C$500,C463,$F$2:$F$500,F463,$H$2:$H$500,"Trade estimate"))</f>
        <v/>
      </c>
      <c r="M463" s="12" t="str">
        <f aca="false">IF(OR(J463="",J463&lt;2),"",IF(L463=0,"",(K463-L463)/L463))</f>
        <v/>
      </c>
      <c r="N463" s="13" t="str">
        <f aca="false">IF(B463="","",IF(J463&lt;2,"Needs 2+ trade sources",IF(M463&gt;Lists!$E$2,"CHECK","OK")))</f>
        <v/>
      </c>
      <c r="O463" s="9" t="str">
        <f aca="false">IF(B463="","",IF(J463&lt;2,"Needs 2+ trade sources",IF(M463&lt;=Lists!$E$6,"Good",IF(M463&lt;=Lists!$E$2,"Moderate","Bad"))))</f>
        <v/>
      </c>
    </row>
    <row r="464" customFormat="false" ht="14.25" hidden="false" customHeight="true" outlineLevel="0" collapsed="false">
      <c r="A464" s="6"/>
      <c r="B464" s="7"/>
      <c r="C464" s="8"/>
      <c r="D464" s="9" t="str">
        <f aca="false">IF(OR(B464="",C464=""),"",IFERROR(C464-INDEX(Films!$C$2:$C$100,MATCH(B464,Films!$A$2:$A$100,0))+1,""))</f>
        <v/>
      </c>
      <c r="E464" s="10"/>
      <c r="F464" s="7"/>
      <c r="G464" s="7"/>
      <c r="H464" s="7"/>
      <c r="I464" s="7"/>
      <c r="J464" s="9" t="str">
        <f aca="false">IF(B464="","",COUNTIFS($B$2:$B$500,B464,$C$2:$C$500,C464,$F$2:$F$500,F464,$H$2:$H$500,"Trade estimate"))</f>
        <v/>
      </c>
      <c r="K464" s="11" t="str">
        <f aca="false">IF(OR(J464="",J464=0),"",_xlfn.MAXIFS($E$2:$E$500,$B$2:$B$500,B464,$C$2:$C$500,C464,$F$2:$F$500,F464,$H$2:$H$500,"Trade estimate"))</f>
        <v/>
      </c>
      <c r="L464" s="11" t="str">
        <f aca="false">IF(OR(J464="",J464=0),"",_xlfn.MINIFS($E$2:$E$500,$B$2:$B$500,B464,$C$2:$C$500,C464,$F$2:$F$500,F464,$H$2:$H$500,"Trade estimate"))</f>
        <v/>
      </c>
      <c r="M464" s="12" t="str">
        <f aca="false">IF(OR(J464="",J464&lt;2),"",IF(L464=0,"",(K464-L464)/L464))</f>
        <v/>
      </c>
      <c r="N464" s="13" t="str">
        <f aca="false">IF(B464="","",IF(J464&lt;2,"Needs 2+ trade sources",IF(M464&gt;Lists!$E$2,"CHECK","OK")))</f>
        <v/>
      </c>
      <c r="O464" s="9" t="str">
        <f aca="false">IF(B464="","",IF(J464&lt;2,"Needs 2+ trade sources",IF(M464&lt;=Lists!$E$6,"Good",IF(M464&lt;=Lists!$E$2,"Moderate","Bad"))))</f>
        <v/>
      </c>
    </row>
    <row r="465" customFormat="false" ht="14.25" hidden="false" customHeight="true" outlineLevel="0" collapsed="false">
      <c r="A465" s="6"/>
      <c r="B465" s="7"/>
      <c r="C465" s="8"/>
      <c r="D465" s="9" t="str">
        <f aca="false">IF(OR(B465="",C465=""),"",IFERROR(C465-INDEX(Films!$C$2:$C$100,MATCH(B465,Films!$A$2:$A$100,0))+1,""))</f>
        <v/>
      </c>
      <c r="E465" s="10"/>
      <c r="F465" s="7"/>
      <c r="G465" s="7"/>
      <c r="H465" s="7"/>
      <c r="I465" s="7"/>
      <c r="J465" s="9" t="str">
        <f aca="false">IF(B465="","",COUNTIFS($B$2:$B$500,B465,$C$2:$C$500,C465,$F$2:$F$500,F465,$H$2:$H$500,"Trade estimate"))</f>
        <v/>
      </c>
      <c r="K465" s="11" t="str">
        <f aca="false">IF(OR(J465="",J465=0),"",_xlfn.MAXIFS($E$2:$E$500,$B$2:$B$500,B465,$C$2:$C$500,C465,$F$2:$F$500,F465,$H$2:$H$500,"Trade estimate"))</f>
        <v/>
      </c>
      <c r="L465" s="11" t="str">
        <f aca="false">IF(OR(J465="",J465=0),"",_xlfn.MINIFS($E$2:$E$500,$B$2:$B$500,B465,$C$2:$C$500,C465,$F$2:$F$500,F465,$H$2:$H$500,"Trade estimate"))</f>
        <v/>
      </c>
      <c r="M465" s="12" t="str">
        <f aca="false">IF(OR(J465="",J465&lt;2),"",IF(L465=0,"",(K465-L465)/L465))</f>
        <v/>
      </c>
      <c r="N465" s="13" t="str">
        <f aca="false">IF(B465="","",IF(J465&lt;2,"Needs 2+ trade sources",IF(M465&gt;Lists!$E$2,"CHECK","OK")))</f>
        <v/>
      </c>
      <c r="O465" s="9" t="str">
        <f aca="false">IF(B465="","",IF(J465&lt;2,"Needs 2+ trade sources",IF(M465&lt;=Lists!$E$6,"Good",IF(M465&lt;=Lists!$E$2,"Moderate","Bad"))))</f>
        <v/>
      </c>
    </row>
    <row r="466" customFormat="false" ht="14.25" hidden="false" customHeight="true" outlineLevel="0" collapsed="false">
      <c r="A466" s="6"/>
      <c r="B466" s="7"/>
      <c r="C466" s="8"/>
      <c r="D466" s="9" t="str">
        <f aca="false">IF(OR(B466="",C466=""),"",IFERROR(C466-INDEX(Films!$C$2:$C$100,MATCH(B466,Films!$A$2:$A$100,0))+1,""))</f>
        <v/>
      </c>
      <c r="E466" s="10"/>
      <c r="F466" s="7"/>
      <c r="G466" s="7"/>
      <c r="H466" s="7"/>
      <c r="I466" s="7"/>
      <c r="J466" s="9" t="str">
        <f aca="false">IF(B466="","",COUNTIFS($B$2:$B$500,B466,$C$2:$C$500,C466,$F$2:$F$500,F466,$H$2:$H$500,"Trade estimate"))</f>
        <v/>
      </c>
      <c r="K466" s="11" t="str">
        <f aca="false">IF(OR(J466="",J466=0),"",_xlfn.MAXIFS($E$2:$E$500,$B$2:$B$500,B466,$C$2:$C$500,C466,$F$2:$F$500,F466,$H$2:$H$500,"Trade estimate"))</f>
        <v/>
      </c>
      <c r="L466" s="11" t="str">
        <f aca="false">IF(OR(J466="",J466=0),"",_xlfn.MINIFS($E$2:$E$500,$B$2:$B$500,B466,$C$2:$C$500,C466,$F$2:$F$500,F466,$H$2:$H$500,"Trade estimate"))</f>
        <v/>
      </c>
      <c r="M466" s="12" t="str">
        <f aca="false">IF(OR(J466="",J466&lt;2),"",IF(L466=0,"",(K466-L466)/L466))</f>
        <v/>
      </c>
      <c r="N466" s="13" t="str">
        <f aca="false">IF(B466="","",IF(J466&lt;2,"Needs 2+ trade sources",IF(M466&gt;Lists!$E$2,"CHECK","OK")))</f>
        <v/>
      </c>
      <c r="O466" s="9" t="str">
        <f aca="false">IF(B466="","",IF(J466&lt;2,"Needs 2+ trade sources",IF(M466&lt;=Lists!$E$6,"Good",IF(M466&lt;=Lists!$E$2,"Moderate","Bad"))))</f>
        <v/>
      </c>
    </row>
    <row r="467" customFormat="false" ht="14.25" hidden="false" customHeight="true" outlineLevel="0" collapsed="false">
      <c r="A467" s="6"/>
      <c r="B467" s="7"/>
      <c r="C467" s="8"/>
      <c r="D467" s="9" t="str">
        <f aca="false">IF(OR(B467="",C467=""),"",IFERROR(C467-INDEX(Films!$C$2:$C$100,MATCH(B467,Films!$A$2:$A$100,0))+1,""))</f>
        <v/>
      </c>
      <c r="E467" s="10"/>
      <c r="F467" s="7"/>
      <c r="G467" s="7"/>
      <c r="H467" s="7"/>
      <c r="I467" s="7"/>
      <c r="J467" s="9" t="str">
        <f aca="false">IF(B467="","",COUNTIFS($B$2:$B$500,B467,$C$2:$C$500,C467,$F$2:$F$500,F467,$H$2:$H$500,"Trade estimate"))</f>
        <v/>
      </c>
      <c r="K467" s="11" t="str">
        <f aca="false">IF(OR(J467="",J467=0),"",_xlfn.MAXIFS($E$2:$E$500,$B$2:$B$500,B467,$C$2:$C$500,C467,$F$2:$F$500,F467,$H$2:$H$500,"Trade estimate"))</f>
        <v/>
      </c>
      <c r="L467" s="11" t="str">
        <f aca="false">IF(OR(J467="",J467=0),"",_xlfn.MINIFS($E$2:$E$500,$B$2:$B$500,B467,$C$2:$C$500,C467,$F$2:$F$500,F467,$H$2:$H$500,"Trade estimate"))</f>
        <v/>
      </c>
      <c r="M467" s="12" t="str">
        <f aca="false">IF(OR(J467="",J467&lt;2),"",IF(L467=0,"",(K467-L467)/L467))</f>
        <v/>
      </c>
      <c r="N467" s="13" t="str">
        <f aca="false">IF(B467="","",IF(J467&lt;2,"Needs 2+ trade sources",IF(M467&gt;Lists!$E$2,"CHECK","OK")))</f>
        <v/>
      </c>
      <c r="O467" s="9" t="str">
        <f aca="false">IF(B467="","",IF(J467&lt;2,"Needs 2+ trade sources",IF(M467&lt;=Lists!$E$6,"Good",IF(M467&lt;=Lists!$E$2,"Moderate","Bad"))))</f>
        <v/>
      </c>
    </row>
    <row r="468" customFormat="false" ht="14.25" hidden="false" customHeight="true" outlineLevel="0" collapsed="false">
      <c r="A468" s="6"/>
      <c r="B468" s="7"/>
      <c r="C468" s="8"/>
      <c r="D468" s="9" t="str">
        <f aca="false">IF(OR(B468="",C468=""),"",IFERROR(C468-INDEX(Films!$C$2:$C$100,MATCH(B468,Films!$A$2:$A$100,0))+1,""))</f>
        <v/>
      </c>
      <c r="E468" s="10"/>
      <c r="F468" s="7"/>
      <c r="G468" s="7"/>
      <c r="H468" s="7"/>
      <c r="I468" s="7"/>
      <c r="J468" s="9" t="str">
        <f aca="false">IF(B468="","",COUNTIFS($B$2:$B$500,B468,$C$2:$C$500,C468,$F$2:$F$500,F468,$H$2:$H$500,"Trade estimate"))</f>
        <v/>
      </c>
      <c r="K468" s="11" t="str">
        <f aca="false">IF(OR(J468="",J468=0),"",_xlfn.MAXIFS($E$2:$E$500,$B$2:$B$500,B468,$C$2:$C$500,C468,$F$2:$F$500,F468,$H$2:$H$500,"Trade estimate"))</f>
        <v/>
      </c>
      <c r="L468" s="11" t="str">
        <f aca="false">IF(OR(J468="",J468=0),"",_xlfn.MINIFS($E$2:$E$500,$B$2:$B$500,B468,$C$2:$C$500,C468,$F$2:$F$500,F468,$H$2:$H$500,"Trade estimate"))</f>
        <v/>
      </c>
      <c r="M468" s="12" t="str">
        <f aca="false">IF(OR(J468="",J468&lt;2),"",IF(L468=0,"",(K468-L468)/L468))</f>
        <v/>
      </c>
      <c r="N468" s="13" t="str">
        <f aca="false">IF(B468="","",IF(J468&lt;2,"Needs 2+ trade sources",IF(M468&gt;Lists!$E$2,"CHECK","OK")))</f>
        <v/>
      </c>
      <c r="O468" s="9" t="str">
        <f aca="false">IF(B468="","",IF(J468&lt;2,"Needs 2+ trade sources",IF(M468&lt;=Lists!$E$6,"Good",IF(M468&lt;=Lists!$E$2,"Moderate","Bad"))))</f>
        <v/>
      </c>
    </row>
    <row r="469" customFormat="false" ht="14.25" hidden="false" customHeight="true" outlineLevel="0" collapsed="false">
      <c r="A469" s="6"/>
      <c r="B469" s="7"/>
      <c r="C469" s="8"/>
      <c r="D469" s="9" t="str">
        <f aca="false">IF(OR(B469="",C469=""),"",IFERROR(C469-INDEX(Films!$C$2:$C$100,MATCH(B469,Films!$A$2:$A$100,0))+1,""))</f>
        <v/>
      </c>
      <c r="E469" s="10"/>
      <c r="F469" s="7"/>
      <c r="G469" s="7"/>
      <c r="H469" s="7"/>
      <c r="I469" s="7"/>
      <c r="J469" s="9" t="str">
        <f aca="false">IF(B469="","",COUNTIFS($B$2:$B$500,B469,$C$2:$C$500,C469,$F$2:$F$500,F469,$H$2:$H$500,"Trade estimate"))</f>
        <v/>
      </c>
      <c r="K469" s="11" t="str">
        <f aca="false">IF(OR(J469="",J469=0),"",_xlfn.MAXIFS($E$2:$E$500,$B$2:$B$500,B469,$C$2:$C$500,C469,$F$2:$F$500,F469,$H$2:$H$500,"Trade estimate"))</f>
        <v/>
      </c>
      <c r="L469" s="11" t="str">
        <f aca="false">IF(OR(J469="",J469=0),"",_xlfn.MINIFS($E$2:$E$500,$B$2:$B$500,B469,$C$2:$C$500,C469,$F$2:$F$500,F469,$H$2:$H$500,"Trade estimate"))</f>
        <v/>
      </c>
      <c r="M469" s="12" t="str">
        <f aca="false">IF(OR(J469="",J469&lt;2),"",IF(L469=0,"",(K469-L469)/L469))</f>
        <v/>
      </c>
      <c r="N469" s="13" t="str">
        <f aca="false">IF(B469="","",IF(J469&lt;2,"Needs 2+ trade sources",IF(M469&gt;Lists!$E$2,"CHECK","OK")))</f>
        <v/>
      </c>
      <c r="O469" s="9" t="str">
        <f aca="false">IF(B469="","",IF(J469&lt;2,"Needs 2+ trade sources",IF(M469&lt;=Lists!$E$6,"Good",IF(M469&lt;=Lists!$E$2,"Moderate","Bad"))))</f>
        <v/>
      </c>
    </row>
    <row r="470" customFormat="false" ht="14.25" hidden="false" customHeight="true" outlineLevel="0" collapsed="false">
      <c r="A470" s="6"/>
      <c r="B470" s="7"/>
      <c r="C470" s="8"/>
      <c r="D470" s="9" t="str">
        <f aca="false">IF(OR(B470="",C470=""),"",IFERROR(C470-INDEX(Films!$C$2:$C$100,MATCH(B470,Films!$A$2:$A$100,0))+1,""))</f>
        <v/>
      </c>
      <c r="E470" s="10"/>
      <c r="F470" s="7"/>
      <c r="G470" s="7"/>
      <c r="H470" s="7"/>
      <c r="I470" s="7"/>
      <c r="J470" s="9" t="str">
        <f aca="false">IF(B470="","",COUNTIFS($B$2:$B$500,B470,$C$2:$C$500,C470,$F$2:$F$500,F470,$H$2:$H$500,"Trade estimate"))</f>
        <v/>
      </c>
      <c r="K470" s="11" t="str">
        <f aca="false">IF(OR(J470="",J470=0),"",_xlfn.MAXIFS($E$2:$E$500,$B$2:$B$500,B470,$C$2:$C$500,C470,$F$2:$F$500,F470,$H$2:$H$500,"Trade estimate"))</f>
        <v/>
      </c>
      <c r="L470" s="11" t="str">
        <f aca="false">IF(OR(J470="",J470=0),"",_xlfn.MINIFS($E$2:$E$500,$B$2:$B$500,B470,$C$2:$C$500,C470,$F$2:$F$500,F470,$H$2:$H$500,"Trade estimate"))</f>
        <v/>
      </c>
      <c r="M470" s="12" t="str">
        <f aca="false">IF(OR(J470="",J470&lt;2),"",IF(L470=0,"",(K470-L470)/L470))</f>
        <v/>
      </c>
      <c r="N470" s="13" t="str">
        <f aca="false">IF(B470="","",IF(J470&lt;2,"Needs 2+ trade sources",IF(M470&gt;Lists!$E$2,"CHECK","OK")))</f>
        <v/>
      </c>
      <c r="O470" s="9" t="str">
        <f aca="false">IF(B470="","",IF(J470&lt;2,"Needs 2+ trade sources",IF(M470&lt;=Lists!$E$6,"Good",IF(M470&lt;=Lists!$E$2,"Moderate","Bad"))))</f>
        <v/>
      </c>
    </row>
    <row r="471" customFormat="false" ht="14.25" hidden="false" customHeight="true" outlineLevel="0" collapsed="false">
      <c r="A471" s="6"/>
      <c r="B471" s="7"/>
      <c r="C471" s="8"/>
      <c r="D471" s="9" t="str">
        <f aca="false">IF(OR(B471="",C471=""),"",IFERROR(C471-INDEX(Films!$C$2:$C$100,MATCH(B471,Films!$A$2:$A$100,0))+1,""))</f>
        <v/>
      </c>
      <c r="E471" s="10"/>
      <c r="F471" s="7"/>
      <c r="G471" s="7"/>
      <c r="H471" s="7"/>
      <c r="I471" s="7"/>
      <c r="J471" s="9" t="str">
        <f aca="false">IF(B471="","",COUNTIFS($B$2:$B$500,B471,$C$2:$C$500,C471,$F$2:$F$500,F471,$H$2:$H$500,"Trade estimate"))</f>
        <v/>
      </c>
      <c r="K471" s="11" t="str">
        <f aca="false">IF(OR(J471="",J471=0),"",_xlfn.MAXIFS($E$2:$E$500,$B$2:$B$500,B471,$C$2:$C$500,C471,$F$2:$F$500,F471,$H$2:$H$500,"Trade estimate"))</f>
        <v/>
      </c>
      <c r="L471" s="11" t="str">
        <f aca="false">IF(OR(J471="",J471=0),"",_xlfn.MINIFS($E$2:$E$500,$B$2:$B$500,B471,$C$2:$C$500,C471,$F$2:$F$500,F471,$H$2:$H$500,"Trade estimate"))</f>
        <v/>
      </c>
      <c r="M471" s="12" t="str">
        <f aca="false">IF(OR(J471="",J471&lt;2),"",IF(L471=0,"",(K471-L471)/L471))</f>
        <v/>
      </c>
      <c r="N471" s="13" t="str">
        <f aca="false">IF(B471="","",IF(J471&lt;2,"Needs 2+ trade sources",IF(M471&gt;Lists!$E$2,"CHECK","OK")))</f>
        <v/>
      </c>
      <c r="O471" s="9" t="str">
        <f aca="false">IF(B471="","",IF(J471&lt;2,"Needs 2+ trade sources",IF(M471&lt;=Lists!$E$6,"Good",IF(M471&lt;=Lists!$E$2,"Moderate","Bad"))))</f>
        <v/>
      </c>
    </row>
    <row r="472" customFormat="false" ht="14.25" hidden="false" customHeight="true" outlineLevel="0" collapsed="false">
      <c r="A472" s="6"/>
      <c r="B472" s="7"/>
      <c r="C472" s="8"/>
      <c r="D472" s="9" t="str">
        <f aca="false">IF(OR(B472="",C472=""),"",IFERROR(C472-INDEX(Films!$C$2:$C$100,MATCH(B472,Films!$A$2:$A$100,0))+1,""))</f>
        <v/>
      </c>
      <c r="E472" s="10"/>
      <c r="F472" s="7"/>
      <c r="G472" s="7"/>
      <c r="H472" s="7"/>
      <c r="I472" s="7"/>
      <c r="J472" s="9" t="str">
        <f aca="false">IF(B472="","",COUNTIFS($B$2:$B$500,B472,$C$2:$C$500,C472,$F$2:$F$500,F472,$H$2:$H$500,"Trade estimate"))</f>
        <v/>
      </c>
      <c r="K472" s="11" t="str">
        <f aca="false">IF(OR(J472="",J472=0),"",_xlfn.MAXIFS($E$2:$E$500,$B$2:$B$500,B472,$C$2:$C$500,C472,$F$2:$F$500,F472,$H$2:$H$500,"Trade estimate"))</f>
        <v/>
      </c>
      <c r="L472" s="11" t="str">
        <f aca="false">IF(OR(J472="",J472=0),"",_xlfn.MINIFS($E$2:$E$500,$B$2:$B$500,B472,$C$2:$C$500,C472,$F$2:$F$500,F472,$H$2:$H$500,"Trade estimate"))</f>
        <v/>
      </c>
      <c r="M472" s="12" t="str">
        <f aca="false">IF(OR(J472="",J472&lt;2),"",IF(L472=0,"",(K472-L472)/L472))</f>
        <v/>
      </c>
      <c r="N472" s="13" t="str">
        <f aca="false">IF(B472="","",IF(J472&lt;2,"Needs 2+ trade sources",IF(M472&gt;Lists!$E$2,"CHECK","OK")))</f>
        <v/>
      </c>
      <c r="O472" s="9" t="str">
        <f aca="false">IF(B472="","",IF(J472&lt;2,"Needs 2+ trade sources",IF(M472&lt;=Lists!$E$6,"Good",IF(M472&lt;=Lists!$E$2,"Moderate","Bad"))))</f>
        <v/>
      </c>
    </row>
    <row r="473" customFormat="false" ht="14.25" hidden="false" customHeight="true" outlineLevel="0" collapsed="false">
      <c r="A473" s="6"/>
      <c r="B473" s="7"/>
      <c r="C473" s="8"/>
      <c r="D473" s="9" t="str">
        <f aca="false">IF(OR(B473="",C473=""),"",IFERROR(C473-INDEX(Films!$C$2:$C$100,MATCH(B473,Films!$A$2:$A$100,0))+1,""))</f>
        <v/>
      </c>
      <c r="E473" s="10"/>
      <c r="F473" s="7"/>
      <c r="G473" s="7"/>
      <c r="H473" s="7"/>
      <c r="I473" s="7"/>
      <c r="J473" s="9" t="str">
        <f aca="false">IF(B473="","",COUNTIFS($B$2:$B$500,B473,$C$2:$C$500,C473,$F$2:$F$500,F473,$H$2:$H$500,"Trade estimate"))</f>
        <v/>
      </c>
      <c r="K473" s="11" t="str">
        <f aca="false">IF(OR(J473="",J473=0),"",_xlfn.MAXIFS($E$2:$E$500,$B$2:$B$500,B473,$C$2:$C$500,C473,$F$2:$F$500,F473,$H$2:$H$500,"Trade estimate"))</f>
        <v/>
      </c>
      <c r="L473" s="11" t="str">
        <f aca="false">IF(OR(J473="",J473=0),"",_xlfn.MINIFS($E$2:$E$500,$B$2:$B$500,B473,$C$2:$C$500,C473,$F$2:$F$500,F473,$H$2:$H$500,"Trade estimate"))</f>
        <v/>
      </c>
      <c r="M473" s="12" t="str">
        <f aca="false">IF(OR(J473="",J473&lt;2),"",IF(L473=0,"",(K473-L473)/L473))</f>
        <v/>
      </c>
      <c r="N473" s="13" t="str">
        <f aca="false">IF(B473="","",IF(J473&lt;2,"Needs 2+ trade sources",IF(M473&gt;Lists!$E$2,"CHECK","OK")))</f>
        <v/>
      </c>
      <c r="O473" s="9" t="str">
        <f aca="false">IF(B473="","",IF(J473&lt;2,"Needs 2+ trade sources",IF(M473&lt;=Lists!$E$6,"Good",IF(M473&lt;=Lists!$E$2,"Moderate","Bad"))))</f>
        <v/>
      </c>
    </row>
    <row r="474" customFormat="false" ht="14.25" hidden="false" customHeight="true" outlineLevel="0" collapsed="false">
      <c r="A474" s="6"/>
      <c r="B474" s="7"/>
      <c r="C474" s="8"/>
      <c r="D474" s="9" t="str">
        <f aca="false">IF(OR(B474="",C474=""),"",IFERROR(C474-INDEX(Films!$C$2:$C$100,MATCH(B474,Films!$A$2:$A$100,0))+1,""))</f>
        <v/>
      </c>
      <c r="E474" s="10"/>
      <c r="F474" s="7"/>
      <c r="G474" s="7"/>
      <c r="H474" s="7"/>
      <c r="I474" s="7"/>
      <c r="J474" s="9" t="str">
        <f aca="false">IF(B474="","",COUNTIFS($B$2:$B$500,B474,$C$2:$C$500,C474,$F$2:$F$500,F474,$H$2:$H$500,"Trade estimate"))</f>
        <v/>
      </c>
      <c r="K474" s="11" t="str">
        <f aca="false">IF(OR(J474="",J474=0),"",_xlfn.MAXIFS($E$2:$E$500,$B$2:$B$500,B474,$C$2:$C$500,C474,$F$2:$F$500,F474,$H$2:$H$500,"Trade estimate"))</f>
        <v/>
      </c>
      <c r="L474" s="11" t="str">
        <f aca="false">IF(OR(J474="",J474=0),"",_xlfn.MINIFS($E$2:$E$500,$B$2:$B$500,B474,$C$2:$C$500,C474,$F$2:$F$500,F474,$H$2:$H$500,"Trade estimate"))</f>
        <v/>
      </c>
      <c r="M474" s="12" t="str">
        <f aca="false">IF(OR(J474="",J474&lt;2),"",IF(L474=0,"",(K474-L474)/L474))</f>
        <v/>
      </c>
      <c r="N474" s="13" t="str">
        <f aca="false">IF(B474="","",IF(J474&lt;2,"Needs 2+ trade sources",IF(M474&gt;Lists!$E$2,"CHECK","OK")))</f>
        <v/>
      </c>
      <c r="O474" s="9" t="str">
        <f aca="false">IF(B474="","",IF(J474&lt;2,"Needs 2+ trade sources",IF(M474&lt;=Lists!$E$6,"Good",IF(M474&lt;=Lists!$E$2,"Moderate","Bad"))))</f>
        <v/>
      </c>
    </row>
    <row r="475" customFormat="false" ht="14.25" hidden="false" customHeight="true" outlineLevel="0" collapsed="false">
      <c r="A475" s="6"/>
      <c r="B475" s="7"/>
      <c r="C475" s="8"/>
      <c r="D475" s="9" t="str">
        <f aca="false">IF(OR(B475="",C475=""),"",IFERROR(C475-INDEX(Films!$C$2:$C$100,MATCH(B475,Films!$A$2:$A$100,0))+1,""))</f>
        <v/>
      </c>
      <c r="E475" s="10"/>
      <c r="F475" s="7"/>
      <c r="G475" s="7"/>
      <c r="H475" s="7"/>
      <c r="I475" s="7"/>
      <c r="J475" s="9" t="str">
        <f aca="false">IF(B475="","",COUNTIFS($B$2:$B$500,B475,$C$2:$C$500,C475,$F$2:$F$500,F475,$H$2:$H$500,"Trade estimate"))</f>
        <v/>
      </c>
      <c r="K475" s="11" t="str">
        <f aca="false">IF(OR(J475="",J475=0),"",_xlfn.MAXIFS($E$2:$E$500,$B$2:$B$500,B475,$C$2:$C$500,C475,$F$2:$F$500,F475,$H$2:$H$500,"Trade estimate"))</f>
        <v/>
      </c>
      <c r="L475" s="11" t="str">
        <f aca="false">IF(OR(J475="",J475=0),"",_xlfn.MINIFS($E$2:$E$500,$B$2:$B$500,B475,$C$2:$C$500,C475,$F$2:$F$500,F475,$H$2:$H$500,"Trade estimate"))</f>
        <v/>
      </c>
      <c r="M475" s="12" t="str">
        <f aca="false">IF(OR(J475="",J475&lt;2),"",IF(L475=0,"",(K475-L475)/L475))</f>
        <v/>
      </c>
      <c r="N475" s="13" t="str">
        <f aca="false">IF(B475="","",IF(J475&lt;2,"Needs 2+ trade sources",IF(M475&gt;Lists!$E$2,"CHECK","OK")))</f>
        <v/>
      </c>
      <c r="O475" s="9" t="str">
        <f aca="false">IF(B475="","",IF(J475&lt;2,"Needs 2+ trade sources",IF(M475&lt;=Lists!$E$6,"Good",IF(M475&lt;=Lists!$E$2,"Moderate","Bad"))))</f>
        <v/>
      </c>
    </row>
    <row r="476" customFormat="false" ht="14.25" hidden="false" customHeight="true" outlineLevel="0" collapsed="false">
      <c r="A476" s="6"/>
      <c r="B476" s="7"/>
      <c r="C476" s="8"/>
      <c r="D476" s="9" t="str">
        <f aca="false">IF(OR(B476="",C476=""),"",IFERROR(C476-INDEX(Films!$C$2:$C$100,MATCH(B476,Films!$A$2:$A$100,0))+1,""))</f>
        <v/>
      </c>
      <c r="E476" s="10"/>
      <c r="F476" s="7"/>
      <c r="G476" s="7"/>
      <c r="H476" s="7"/>
      <c r="I476" s="7"/>
      <c r="J476" s="9" t="str">
        <f aca="false">IF(B476="","",COUNTIFS($B$2:$B$500,B476,$C$2:$C$500,C476,$F$2:$F$500,F476,$H$2:$H$500,"Trade estimate"))</f>
        <v/>
      </c>
      <c r="K476" s="11" t="str">
        <f aca="false">IF(OR(J476="",J476=0),"",_xlfn.MAXIFS($E$2:$E$500,$B$2:$B$500,B476,$C$2:$C$500,C476,$F$2:$F$500,F476,$H$2:$H$500,"Trade estimate"))</f>
        <v/>
      </c>
      <c r="L476" s="11" t="str">
        <f aca="false">IF(OR(J476="",J476=0),"",_xlfn.MINIFS($E$2:$E$500,$B$2:$B$500,B476,$C$2:$C$500,C476,$F$2:$F$500,F476,$H$2:$H$500,"Trade estimate"))</f>
        <v/>
      </c>
      <c r="M476" s="12" t="str">
        <f aca="false">IF(OR(J476="",J476&lt;2),"",IF(L476=0,"",(K476-L476)/L476))</f>
        <v/>
      </c>
      <c r="N476" s="13" t="str">
        <f aca="false">IF(B476="","",IF(J476&lt;2,"Needs 2+ trade sources",IF(M476&gt;Lists!$E$2,"CHECK","OK")))</f>
        <v/>
      </c>
      <c r="O476" s="9" t="str">
        <f aca="false">IF(B476="","",IF(J476&lt;2,"Needs 2+ trade sources",IF(M476&lt;=Lists!$E$6,"Good",IF(M476&lt;=Lists!$E$2,"Moderate","Bad"))))</f>
        <v/>
      </c>
    </row>
    <row r="477" customFormat="false" ht="14.25" hidden="false" customHeight="true" outlineLevel="0" collapsed="false">
      <c r="A477" s="6"/>
      <c r="B477" s="7"/>
      <c r="C477" s="8"/>
      <c r="D477" s="9" t="str">
        <f aca="false">IF(OR(B477="",C477=""),"",IFERROR(C477-INDEX(Films!$C$2:$C$100,MATCH(B477,Films!$A$2:$A$100,0))+1,""))</f>
        <v/>
      </c>
      <c r="E477" s="10"/>
      <c r="F477" s="7"/>
      <c r="G477" s="7"/>
      <c r="H477" s="7"/>
      <c r="I477" s="7"/>
      <c r="J477" s="9" t="str">
        <f aca="false">IF(B477="","",COUNTIFS($B$2:$B$500,B477,$C$2:$C$500,C477,$F$2:$F$500,F477,$H$2:$H$500,"Trade estimate"))</f>
        <v/>
      </c>
      <c r="K477" s="11" t="str">
        <f aca="false">IF(OR(J477="",J477=0),"",_xlfn.MAXIFS($E$2:$E$500,$B$2:$B$500,B477,$C$2:$C$500,C477,$F$2:$F$500,F477,$H$2:$H$500,"Trade estimate"))</f>
        <v/>
      </c>
      <c r="L477" s="11" t="str">
        <f aca="false">IF(OR(J477="",J477=0),"",_xlfn.MINIFS($E$2:$E$500,$B$2:$B$500,B477,$C$2:$C$500,C477,$F$2:$F$500,F477,$H$2:$H$500,"Trade estimate"))</f>
        <v/>
      </c>
      <c r="M477" s="12" t="str">
        <f aca="false">IF(OR(J477="",J477&lt;2),"",IF(L477=0,"",(K477-L477)/L477))</f>
        <v/>
      </c>
      <c r="N477" s="13" t="str">
        <f aca="false">IF(B477="","",IF(J477&lt;2,"Needs 2+ trade sources",IF(M477&gt;Lists!$E$2,"CHECK","OK")))</f>
        <v/>
      </c>
      <c r="O477" s="9" t="str">
        <f aca="false">IF(B477="","",IF(J477&lt;2,"Needs 2+ trade sources",IF(M477&lt;=Lists!$E$6,"Good",IF(M477&lt;=Lists!$E$2,"Moderate","Bad"))))</f>
        <v/>
      </c>
    </row>
    <row r="478" customFormat="false" ht="14.25" hidden="false" customHeight="true" outlineLevel="0" collapsed="false">
      <c r="A478" s="6"/>
      <c r="B478" s="7"/>
      <c r="C478" s="8"/>
      <c r="D478" s="9" t="str">
        <f aca="false">IF(OR(B478="",C478=""),"",IFERROR(C478-INDEX(Films!$C$2:$C$100,MATCH(B478,Films!$A$2:$A$100,0))+1,""))</f>
        <v/>
      </c>
      <c r="E478" s="10"/>
      <c r="F478" s="7"/>
      <c r="G478" s="7"/>
      <c r="H478" s="7"/>
      <c r="I478" s="7"/>
      <c r="J478" s="9" t="str">
        <f aca="false">IF(B478="","",COUNTIFS($B$2:$B$500,B478,$C$2:$C$500,C478,$F$2:$F$500,F478,$H$2:$H$500,"Trade estimate"))</f>
        <v/>
      </c>
      <c r="K478" s="11" t="str">
        <f aca="false">IF(OR(J478="",J478=0),"",_xlfn.MAXIFS($E$2:$E$500,$B$2:$B$500,B478,$C$2:$C$500,C478,$F$2:$F$500,F478,$H$2:$H$500,"Trade estimate"))</f>
        <v/>
      </c>
      <c r="L478" s="11" t="str">
        <f aca="false">IF(OR(J478="",J478=0),"",_xlfn.MINIFS($E$2:$E$500,$B$2:$B$500,B478,$C$2:$C$500,C478,$F$2:$F$500,F478,$H$2:$H$500,"Trade estimate"))</f>
        <v/>
      </c>
      <c r="M478" s="12" t="str">
        <f aca="false">IF(OR(J478="",J478&lt;2),"",IF(L478=0,"",(K478-L478)/L478))</f>
        <v/>
      </c>
      <c r="N478" s="13" t="str">
        <f aca="false">IF(B478="","",IF(J478&lt;2,"Needs 2+ trade sources",IF(M478&gt;Lists!$E$2,"CHECK","OK")))</f>
        <v/>
      </c>
      <c r="O478" s="9" t="str">
        <f aca="false">IF(B478="","",IF(J478&lt;2,"Needs 2+ trade sources",IF(M478&lt;=Lists!$E$6,"Good",IF(M478&lt;=Lists!$E$2,"Moderate","Bad"))))</f>
        <v/>
      </c>
    </row>
    <row r="479" customFormat="false" ht="14.25" hidden="false" customHeight="true" outlineLevel="0" collapsed="false">
      <c r="A479" s="6"/>
      <c r="B479" s="7"/>
      <c r="C479" s="8"/>
      <c r="D479" s="9" t="str">
        <f aca="false">IF(OR(B479="",C479=""),"",IFERROR(C479-INDEX(Films!$C$2:$C$100,MATCH(B479,Films!$A$2:$A$100,0))+1,""))</f>
        <v/>
      </c>
      <c r="E479" s="10"/>
      <c r="F479" s="7"/>
      <c r="G479" s="7"/>
      <c r="H479" s="7"/>
      <c r="I479" s="7"/>
      <c r="J479" s="9" t="str">
        <f aca="false">IF(B479="","",COUNTIFS($B$2:$B$500,B479,$C$2:$C$500,C479,$F$2:$F$500,F479,$H$2:$H$500,"Trade estimate"))</f>
        <v/>
      </c>
      <c r="K479" s="11" t="str">
        <f aca="false">IF(OR(J479="",J479=0),"",_xlfn.MAXIFS($E$2:$E$500,$B$2:$B$500,B479,$C$2:$C$500,C479,$F$2:$F$500,F479,$H$2:$H$500,"Trade estimate"))</f>
        <v/>
      </c>
      <c r="L479" s="11" t="str">
        <f aca="false">IF(OR(J479="",J479=0),"",_xlfn.MINIFS($E$2:$E$500,$B$2:$B$500,B479,$C$2:$C$500,C479,$F$2:$F$500,F479,$H$2:$H$500,"Trade estimate"))</f>
        <v/>
      </c>
      <c r="M479" s="12" t="str">
        <f aca="false">IF(OR(J479="",J479&lt;2),"",IF(L479=0,"",(K479-L479)/L479))</f>
        <v/>
      </c>
      <c r="N479" s="13" t="str">
        <f aca="false">IF(B479="","",IF(J479&lt;2,"Needs 2+ trade sources",IF(M479&gt;Lists!$E$2,"CHECK","OK")))</f>
        <v/>
      </c>
      <c r="O479" s="9" t="str">
        <f aca="false">IF(B479="","",IF(J479&lt;2,"Needs 2+ trade sources",IF(M479&lt;=Lists!$E$6,"Good",IF(M479&lt;=Lists!$E$2,"Moderate","Bad"))))</f>
        <v/>
      </c>
    </row>
    <row r="480" customFormat="false" ht="14.25" hidden="false" customHeight="true" outlineLevel="0" collapsed="false">
      <c r="A480" s="6"/>
      <c r="B480" s="7"/>
      <c r="C480" s="8"/>
      <c r="D480" s="9" t="str">
        <f aca="false">IF(OR(B480="",C480=""),"",IFERROR(C480-INDEX(Films!$C$2:$C$100,MATCH(B480,Films!$A$2:$A$100,0))+1,""))</f>
        <v/>
      </c>
      <c r="E480" s="10"/>
      <c r="F480" s="7"/>
      <c r="G480" s="7"/>
      <c r="H480" s="7"/>
      <c r="I480" s="7"/>
      <c r="J480" s="9" t="str">
        <f aca="false">IF(B480="","",COUNTIFS($B$2:$B$500,B480,$C$2:$C$500,C480,$F$2:$F$500,F480,$H$2:$H$500,"Trade estimate"))</f>
        <v/>
      </c>
      <c r="K480" s="11" t="str">
        <f aca="false">IF(OR(J480="",J480=0),"",_xlfn.MAXIFS($E$2:$E$500,$B$2:$B$500,B480,$C$2:$C$500,C480,$F$2:$F$500,F480,$H$2:$H$500,"Trade estimate"))</f>
        <v/>
      </c>
      <c r="L480" s="11" t="str">
        <f aca="false">IF(OR(J480="",J480=0),"",_xlfn.MINIFS($E$2:$E$500,$B$2:$B$500,B480,$C$2:$C$500,C480,$F$2:$F$500,F480,$H$2:$H$500,"Trade estimate"))</f>
        <v/>
      </c>
      <c r="M480" s="12" t="str">
        <f aca="false">IF(OR(J480="",J480&lt;2),"",IF(L480=0,"",(K480-L480)/L480))</f>
        <v/>
      </c>
      <c r="N480" s="13" t="str">
        <f aca="false">IF(B480="","",IF(J480&lt;2,"Needs 2+ trade sources",IF(M480&gt;Lists!$E$2,"CHECK","OK")))</f>
        <v/>
      </c>
      <c r="O480" s="9" t="str">
        <f aca="false">IF(B480="","",IF(J480&lt;2,"Needs 2+ trade sources",IF(M480&lt;=Lists!$E$6,"Good",IF(M480&lt;=Lists!$E$2,"Moderate","Bad"))))</f>
        <v/>
      </c>
    </row>
    <row r="481" customFormat="false" ht="14.25" hidden="false" customHeight="true" outlineLevel="0" collapsed="false">
      <c r="A481" s="6"/>
      <c r="B481" s="7"/>
      <c r="C481" s="8"/>
      <c r="D481" s="9" t="str">
        <f aca="false">IF(OR(B481="",C481=""),"",IFERROR(C481-INDEX(Films!$C$2:$C$100,MATCH(B481,Films!$A$2:$A$100,0))+1,""))</f>
        <v/>
      </c>
      <c r="E481" s="10"/>
      <c r="F481" s="7"/>
      <c r="G481" s="7"/>
      <c r="H481" s="7"/>
      <c r="I481" s="7"/>
      <c r="J481" s="9" t="str">
        <f aca="false">IF(B481="","",COUNTIFS($B$2:$B$500,B481,$C$2:$C$500,C481,$F$2:$F$500,F481,$H$2:$H$500,"Trade estimate"))</f>
        <v/>
      </c>
      <c r="K481" s="11" t="str">
        <f aca="false">IF(OR(J481="",J481=0),"",_xlfn.MAXIFS($E$2:$E$500,$B$2:$B$500,B481,$C$2:$C$500,C481,$F$2:$F$500,F481,$H$2:$H$500,"Trade estimate"))</f>
        <v/>
      </c>
      <c r="L481" s="11" t="str">
        <f aca="false">IF(OR(J481="",J481=0),"",_xlfn.MINIFS($E$2:$E$500,$B$2:$B$500,B481,$C$2:$C$500,C481,$F$2:$F$500,F481,$H$2:$H$500,"Trade estimate"))</f>
        <v/>
      </c>
      <c r="M481" s="12" t="str">
        <f aca="false">IF(OR(J481="",J481&lt;2),"",IF(L481=0,"",(K481-L481)/L481))</f>
        <v/>
      </c>
      <c r="N481" s="13" t="str">
        <f aca="false">IF(B481="","",IF(J481&lt;2,"Needs 2+ trade sources",IF(M481&gt;Lists!$E$2,"CHECK","OK")))</f>
        <v/>
      </c>
      <c r="O481" s="9" t="str">
        <f aca="false">IF(B481="","",IF(J481&lt;2,"Needs 2+ trade sources",IF(M481&lt;=Lists!$E$6,"Good",IF(M481&lt;=Lists!$E$2,"Moderate","Bad"))))</f>
        <v/>
      </c>
    </row>
    <row r="482" customFormat="false" ht="14.25" hidden="false" customHeight="true" outlineLevel="0" collapsed="false">
      <c r="A482" s="6"/>
      <c r="B482" s="7"/>
      <c r="C482" s="8"/>
      <c r="D482" s="9" t="str">
        <f aca="false">IF(OR(B482="",C482=""),"",IFERROR(C482-INDEX(Films!$C$2:$C$100,MATCH(B482,Films!$A$2:$A$100,0))+1,""))</f>
        <v/>
      </c>
      <c r="E482" s="10"/>
      <c r="F482" s="7"/>
      <c r="G482" s="7"/>
      <c r="H482" s="7"/>
      <c r="I482" s="7"/>
      <c r="J482" s="9" t="str">
        <f aca="false">IF(B482="","",COUNTIFS($B$2:$B$500,B482,$C$2:$C$500,C482,$F$2:$F$500,F482,$H$2:$H$500,"Trade estimate"))</f>
        <v/>
      </c>
      <c r="K482" s="11" t="str">
        <f aca="false">IF(OR(J482="",J482=0),"",_xlfn.MAXIFS($E$2:$E$500,$B$2:$B$500,B482,$C$2:$C$500,C482,$F$2:$F$500,F482,$H$2:$H$500,"Trade estimate"))</f>
        <v/>
      </c>
      <c r="L482" s="11" t="str">
        <f aca="false">IF(OR(J482="",J482=0),"",_xlfn.MINIFS($E$2:$E$500,$B$2:$B$500,B482,$C$2:$C$500,C482,$F$2:$F$500,F482,$H$2:$H$500,"Trade estimate"))</f>
        <v/>
      </c>
      <c r="M482" s="12" t="str">
        <f aca="false">IF(OR(J482="",J482&lt;2),"",IF(L482=0,"",(K482-L482)/L482))</f>
        <v/>
      </c>
      <c r="N482" s="13" t="str">
        <f aca="false">IF(B482="","",IF(J482&lt;2,"Needs 2+ trade sources",IF(M482&gt;Lists!$E$2,"CHECK","OK")))</f>
        <v/>
      </c>
      <c r="O482" s="9" t="str">
        <f aca="false">IF(B482="","",IF(J482&lt;2,"Needs 2+ trade sources",IF(M482&lt;=Lists!$E$6,"Good",IF(M482&lt;=Lists!$E$2,"Moderate","Bad"))))</f>
        <v/>
      </c>
    </row>
    <row r="483" customFormat="false" ht="14.25" hidden="false" customHeight="true" outlineLevel="0" collapsed="false">
      <c r="A483" s="6"/>
      <c r="B483" s="7"/>
      <c r="C483" s="8"/>
      <c r="D483" s="9" t="str">
        <f aca="false">IF(OR(B483="",C483=""),"",IFERROR(C483-INDEX(Films!$C$2:$C$100,MATCH(B483,Films!$A$2:$A$100,0))+1,""))</f>
        <v/>
      </c>
      <c r="E483" s="10"/>
      <c r="F483" s="7"/>
      <c r="G483" s="7"/>
      <c r="H483" s="7"/>
      <c r="I483" s="7"/>
      <c r="J483" s="9" t="str">
        <f aca="false">IF(B483="","",COUNTIFS($B$2:$B$500,B483,$C$2:$C$500,C483,$F$2:$F$500,F483,$H$2:$H$500,"Trade estimate"))</f>
        <v/>
      </c>
      <c r="K483" s="11" t="str">
        <f aca="false">IF(OR(J483="",J483=0),"",_xlfn.MAXIFS($E$2:$E$500,$B$2:$B$500,B483,$C$2:$C$500,C483,$F$2:$F$500,F483,$H$2:$H$500,"Trade estimate"))</f>
        <v/>
      </c>
      <c r="L483" s="11" t="str">
        <f aca="false">IF(OR(J483="",J483=0),"",_xlfn.MINIFS($E$2:$E$500,$B$2:$B$500,B483,$C$2:$C$500,C483,$F$2:$F$500,F483,$H$2:$H$500,"Trade estimate"))</f>
        <v/>
      </c>
      <c r="M483" s="12" t="str">
        <f aca="false">IF(OR(J483="",J483&lt;2),"",IF(L483=0,"",(K483-L483)/L483))</f>
        <v/>
      </c>
      <c r="N483" s="13" t="str">
        <f aca="false">IF(B483="","",IF(J483&lt;2,"Needs 2+ trade sources",IF(M483&gt;Lists!$E$2,"CHECK","OK")))</f>
        <v/>
      </c>
      <c r="O483" s="9" t="str">
        <f aca="false">IF(B483="","",IF(J483&lt;2,"Needs 2+ trade sources",IF(M483&lt;=Lists!$E$6,"Good",IF(M483&lt;=Lists!$E$2,"Moderate","Bad"))))</f>
        <v/>
      </c>
    </row>
    <row r="484" customFormat="false" ht="14.25" hidden="false" customHeight="true" outlineLevel="0" collapsed="false">
      <c r="A484" s="6"/>
      <c r="B484" s="7"/>
      <c r="C484" s="8"/>
      <c r="D484" s="9" t="str">
        <f aca="false">IF(OR(B484="",C484=""),"",IFERROR(C484-INDEX(Films!$C$2:$C$100,MATCH(B484,Films!$A$2:$A$100,0))+1,""))</f>
        <v/>
      </c>
      <c r="E484" s="10"/>
      <c r="F484" s="7"/>
      <c r="G484" s="7"/>
      <c r="H484" s="7"/>
      <c r="I484" s="7"/>
      <c r="J484" s="9" t="str">
        <f aca="false">IF(B484="","",COUNTIFS($B$2:$B$500,B484,$C$2:$C$500,C484,$F$2:$F$500,F484,$H$2:$H$500,"Trade estimate"))</f>
        <v/>
      </c>
      <c r="K484" s="11" t="str">
        <f aca="false">IF(OR(J484="",J484=0),"",_xlfn.MAXIFS($E$2:$E$500,$B$2:$B$500,B484,$C$2:$C$500,C484,$F$2:$F$500,F484,$H$2:$H$500,"Trade estimate"))</f>
        <v/>
      </c>
      <c r="L484" s="11" t="str">
        <f aca="false">IF(OR(J484="",J484=0),"",_xlfn.MINIFS($E$2:$E$500,$B$2:$B$500,B484,$C$2:$C$500,C484,$F$2:$F$500,F484,$H$2:$H$500,"Trade estimate"))</f>
        <v/>
      </c>
      <c r="M484" s="12" t="str">
        <f aca="false">IF(OR(J484="",J484&lt;2),"",IF(L484=0,"",(K484-L484)/L484))</f>
        <v/>
      </c>
      <c r="N484" s="13" t="str">
        <f aca="false">IF(B484="","",IF(J484&lt;2,"Needs 2+ trade sources",IF(M484&gt;Lists!$E$2,"CHECK","OK")))</f>
        <v/>
      </c>
      <c r="O484" s="9" t="str">
        <f aca="false">IF(B484="","",IF(J484&lt;2,"Needs 2+ trade sources",IF(M484&lt;=Lists!$E$6,"Good",IF(M484&lt;=Lists!$E$2,"Moderate","Bad"))))</f>
        <v/>
      </c>
    </row>
    <row r="485" customFormat="false" ht="14.25" hidden="false" customHeight="true" outlineLevel="0" collapsed="false">
      <c r="A485" s="6"/>
      <c r="B485" s="7"/>
      <c r="C485" s="8"/>
      <c r="D485" s="9" t="str">
        <f aca="false">IF(OR(B485="",C485=""),"",IFERROR(C485-INDEX(Films!$C$2:$C$100,MATCH(B485,Films!$A$2:$A$100,0))+1,""))</f>
        <v/>
      </c>
      <c r="E485" s="10"/>
      <c r="F485" s="7"/>
      <c r="G485" s="7"/>
      <c r="H485" s="7"/>
      <c r="I485" s="7"/>
      <c r="J485" s="9" t="str">
        <f aca="false">IF(B485="","",COUNTIFS($B$2:$B$500,B485,$C$2:$C$500,C485,$F$2:$F$500,F485,$H$2:$H$500,"Trade estimate"))</f>
        <v/>
      </c>
      <c r="K485" s="11" t="str">
        <f aca="false">IF(OR(J485="",J485=0),"",_xlfn.MAXIFS($E$2:$E$500,$B$2:$B$500,B485,$C$2:$C$500,C485,$F$2:$F$500,F485,$H$2:$H$500,"Trade estimate"))</f>
        <v/>
      </c>
      <c r="L485" s="11" t="str">
        <f aca="false">IF(OR(J485="",J485=0),"",_xlfn.MINIFS($E$2:$E$500,$B$2:$B$500,B485,$C$2:$C$500,C485,$F$2:$F$500,F485,$H$2:$H$500,"Trade estimate"))</f>
        <v/>
      </c>
      <c r="M485" s="12" t="str">
        <f aca="false">IF(OR(J485="",J485&lt;2),"",IF(L485=0,"",(K485-L485)/L485))</f>
        <v/>
      </c>
      <c r="N485" s="13" t="str">
        <f aca="false">IF(B485="","",IF(J485&lt;2,"Needs 2+ trade sources",IF(M485&gt;Lists!$E$2,"CHECK","OK")))</f>
        <v/>
      </c>
      <c r="O485" s="9" t="str">
        <f aca="false">IF(B485="","",IF(J485&lt;2,"Needs 2+ trade sources",IF(M485&lt;=Lists!$E$6,"Good",IF(M485&lt;=Lists!$E$2,"Moderate","Bad"))))</f>
        <v/>
      </c>
    </row>
    <row r="486" customFormat="false" ht="14.25" hidden="false" customHeight="true" outlineLevel="0" collapsed="false">
      <c r="A486" s="6"/>
      <c r="B486" s="7"/>
      <c r="C486" s="8"/>
      <c r="D486" s="9" t="str">
        <f aca="false">IF(OR(B486="",C486=""),"",IFERROR(C486-INDEX(Films!$C$2:$C$100,MATCH(B486,Films!$A$2:$A$100,0))+1,""))</f>
        <v/>
      </c>
      <c r="E486" s="10"/>
      <c r="F486" s="7"/>
      <c r="G486" s="7"/>
      <c r="H486" s="7"/>
      <c r="I486" s="7"/>
      <c r="J486" s="9" t="str">
        <f aca="false">IF(B486="","",COUNTIFS($B$2:$B$500,B486,$C$2:$C$500,C486,$F$2:$F$500,F486,$H$2:$H$500,"Trade estimate"))</f>
        <v/>
      </c>
      <c r="K486" s="11" t="str">
        <f aca="false">IF(OR(J486="",J486=0),"",_xlfn.MAXIFS($E$2:$E$500,$B$2:$B$500,B486,$C$2:$C$500,C486,$F$2:$F$500,F486,$H$2:$H$500,"Trade estimate"))</f>
        <v/>
      </c>
      <c r="L486" s="11" t="str">
        <f aca="false">IF(OR(J486="",J486=0),"",_xlfn.MINIFS($E$2:$E$500,$B$2:$B$500,B486,$C$2:$C$500,C486,$F$2:$F$500,F486,$H$2:$H$500,"Trade estimate"))</f>
        <v/>
      </c>
      <c r="M486" s="12" t="str">
        <f aca="false">IF(OR(J486="",J486&lt;2),"",IF(L486=0,"",(K486-L486)/L486))</f>
        <v/>
      </c>
      <c r="N486" s="13" t="str">
        <f aca="false">IF(B486="","",IF(J486&lt;2,"Needs 2+ trade sources",IF(M486&gt;Lists!$E$2,"CHECK","OK")))</f>
        <v/>
      </c>
      <c r="O486" s="9" t="str">
        <f aca="false">IF(B486="","",IF(J486&lt;2,"Needs 2+ trade sources",IF(M486&lt;=Lists!$E$6,"Good",IF(M486&lt;=Lists!$E$2,"Moderate","Bad"))))</f>
        <v/>
      </c>
    </row>
    <row r="487" customFormat="false" ht="14.25" hidden="false" customHeight="true" outlineLevel="0" collapsed="false">
      <c r="A487" s="6"/>
      <c r="B487" s="7"/>
      <c r="C487" s="8"/>
      <c r="D487" s="9" t="str">
        <f aca="false">IF(OR(B487="",C487=""),"",IFERROR(C487-INDEX(Films!$C$2:$C$100,MATCH(B487,Films!$A$2:$A$100,0))+1,""))</f>
        <v/>
      </c>
      <c r="E487" s="10"/>
      <c r="F487" s="7"/>
      <c r="G487" s="7"/>
      <c r="H487" s="7"/>
      <c r="I487" s="7"/>
      <c r="J487" s="9" t="str">
        <f aca="false">IF(B487="","",COUNTIFS($B$2:$B$500,B487,$C$2:$C$500,C487,$F$2:$F$500,F487,$H$2:$H$500,"Trade estimate"))</f>
        <v/>
      </c>
      <c r="K487" s="11" t="str">
        <f aca="false">IF(OR(J487="",J487=0),"",_xlfn.MAXIFS($E$2:$E$500,$B$2:$B$500,B487,$C$2:$C$500,C487,$F$2:$F$500,F487,$H$2:$H$500,"Trade estimate"))</f>
        <v/>
      </c>
      <c r="L487" s="11" t="str">
        <f aca="false">IF(OR(J487="",J487=0),"",_xlfn.MINIFS($E$2:$E$500,$B$2:$B$500,B487,$C$2:$C$500,C487,$F$2:$F$500,F487,$H$2:$H$500,"Trade estimate"))</f>
        <v/>
      </c>
      <c r="M487" s="12" t="str">
        <f aca="false">IF(OR(J487="",J487&lt;2),"",IF(L487=0,"",(K487-L487)/L487))</f>
        <v/>
      </c>
      <c r="N487" s="13" t="str">
        <f aca="false">IF(B487="","",IF(J487&lt;2,"Needs 2+ trade sources",IF(M487&gt;Lists!$E$2,"CHECK","OK")))</f>
        <v/>
      </c>
      <c r="O487" s="9" t="str">
        <f aca="false">IF(B487="","",IF(J487&lt;2,"Needs 2+ trade sources",IF(M487&lt;=Lists!$E$6,"Good",IF(M487&lt;=Lists!$E$2,"Moderate","Bad"))))</f>
        <v/>
      </c>
    </row>
    <row r="488" customFormat="false" ht="14.25" hidden="false" customHeight="true" outlineLevel="0" collapsed="false">
      <c r="A488" s="6"/>
      <c r="B488" s="7"/>
      <c r="C488" s="8"/>
      <c r="D488" s="9" t="str">
        <f aca="false">IF(OR(B488="",C488=""),"",IFERROR(C488-INDEX(Films!$C$2:$C$100,MATCH(B488,Films!$A$2:$A$100,0))+1,""))</f>
        <v/>
      </c>
      <c r="E488" s="10"/>
      <c r="F488" s="7"/>
      <c r="G488" s="7"/>
      <c r="H488" s="7"/>
      <c r="I488" s="7"/>
      <c r="J488" s="9" t="str">
        <f aca="false">IF(B488="","",COUNTIFS($B$2:$B$500,B488,$C$2:$C$500,C488,$F$2:$F$500,F488,$H$2:$H$500,"Trade estimate"))</f>
        <v/>
      </c>
      <c r="K488" s="11" t="str">
        <f aca="false">IF(OR(J488="",J488=0),"",_xlfn.MAXIFS($E$2:$E$500,$B$2:$B$500,B488,$C$2:$C$500,C488,$F$2:$F$500,F488,$H$2:$H$500,"Trade estimate"))</f>
        <v/>
      </c>
      <c r="L488" s="11" t="str">
        <f aca="false">IF(OR(J488="",J488=0),"",_xlfn.MINIFS($E$2:$E$500,$B$2:$B$500,B488,$C$2:$C$500,C488,$F$2:$F$500,F488,$H$2:$H$500,"Trade estimate"))</f>
        <v/>
      </c>
      <c r="M488" s="12" t="str">
        <f aca="false">IF(OR(J488="",J488&lt;2),"",IF(L488=0,"",(K488-L488)/L488))</f>
        <v/>
      </c>
      <c r="N488" s="13" t="str">
        <f aca="false">IF(B488="","",IF(J488&lt;2,"Needs 2+ trade sources",IF(M488&gt;Lists!$E$2,"CHECK","OK")))</f>
        <v/>
      </c>
      <c r="O488" s="9" t="str">
        <f aca="false">IF(B488="","",IF(J488&lt;2,"Needs 2+ trade sources",IF(M488&lt;=Lists!$E$6,"Good",IF(M488&lt;=Lists!$E$2,"Moderate","Bad"))))</f>
        <v/>
      </c>
    </row>
    <row r="489" customFormat="false" ht="14.25" hidden="false" customHeight="true" outlineLevel="0" collapsed="false">
      <c r="A489" s="6"/>
      <c r="B489" s="7"/>
      <c r="C489" s="8"/>
      <c r="D489" s="9" t="str">
        <f aca="false">IF(OR(B489="",C489=""),"",IFERROR(C489-INDEX(Films!$C$2:$C$100,MATCH(B489,Films!$A$2:$A$100,0))+1,""))</f>
        <v/>
      </c>
      <c r="E489" s="10"/>
      <c r="F489" s="7"/>
      <c r="G489" s="7"/>
      <c r="H489" s="7"/>
      <c r="I489" s="7"/>
      <c r="J489" s="9" t="str">
        <f aca="false">IF(B489="","",COUNTIFS($B$2:$B$500,B489,$C$2:$C$500,C489,$F$2:$F$500,F489,$H$2:$H$500,"Trade estimate"))</f>
        <v/>
      </c>
      <c r="K489" s="11" t="str">
        <f aca="false">IF(OR(J489="",J489=0),"",_xlfn.MAXIFS($E$2:$E$500,$B$2:$B$500,B489,$C$2:$C$500,C489,$F$2:$F$500,F489,$H$2:$H$500,"Trade estimate"))</f>
        <v/>
      </c>
      <c r="L489" s="11" t="str">
        <f aca="false">IF(OR(J489="",J489=0),"",_xlfn.MINIFS($E$2:$E$500,$B$2:$B$500,B489,$C$2:$C$500,C489,$F$2:$F$500,F489,$H$2:$H$500,"Trade estimate"))</f>
        <v/>
      </c>
      <c r="M489" s="12" t="str">
        <f aca="false">IF(OR(J489="",J489&lt;2),"",IF(L489=0,"",(K489-L489)/L489))</f>
        <v/>
      </c>
      <c r="N489" s="13" t="str">
        <f aca="false">IF(B489="","",IF(J489&lt;2,"Needs 2+ trade sources",IF(M489&gt;Lists!$E$2,"CHECK","OK")))</f>
        <v/>
      </c>
      <c r="O489" s="9" t="str">
        <f aca="false">IF(B489="","",IF(J489&lt;2,"Needs 2+ trade sources",IF(M489&lt;=Lists!$E$6,"Good",IF(M489&lt;=Lists!$E$2,"Moderate","Bad"))))</f>
        <v/>
      </c>
    </row>
    <row r="490" customFormat="false" ht="14.25" hidden="false" customHeight="true" outlineLevel="0" collapsed="false">
      <c r="A490" s="6"/>
      <c r="B490" s="7"/>
      <c r="C490" s="8"/>
      <c r="D490" s="9" t="str">
        <f aca="false">IF(OR(B490="",C490=""),"",IFERROR(C490-INDEX(Films!$C$2:$C$100,MATCH(B490,Films!$A$2:$A$100,0))+1,""))</f>
        <v/>
      </c>
      <c r="E490" s="10"/>
      <c r="F490" s="7"/>
      <c r="G490" s="7"/>
      <c r="H490" s="7"/>
      <c r="I490" s="7"/>
      <c r="J490" s="9" t="str">
        <f aca="false">IF(B490="","",COUNTIFS($B$2:$B$500,B490,$C$2:$C$500,C490,$F$2:$F$500,F490,$H$2:$H$500,"Trade estimate"))</f>
        <v/>
      </c>
      <c r="K490" s="11" t="str">
        <f aca="false">IF(OR(J490="",J490=0),"",_xlfn.MAXIFS($E$2:$E$500,$B$2:$B$500,B490,$C$2:$C$500,C490,$F$2:$F$500,F490,$H$2:$H$500,"Trade estimate"))</f>
        <v/>
      </c>
      <c r="L490" s="11" t="str">
        <f aca="false">IF(OR(J490="",J490=0),"",_xlfn.MINIFS($E$2:$E$500,$B$2:$B$500,B490,$C$2:$C$500,C490,$F$2:$F$500,F490,$H$2:$H$500,"Trade estimate"))</f>
        <v/>
      </c>
      <c r="M490" s="12" t="str">
        <f aca="false">IF(OR(J490="",J490&lt;2),"",IF(L490=0,"",(K490-L490)/L490))</f>
        <v/>
      </c>
      <c r="N490" s="13" t="str">
        <f aca="false">IF(B490="","",IF(J490&lt;2,"Needs 2+ trade sources",IF(M490&gt;Lists!$E$2,"CHECK","OK")))</f>
        <v/>
      </c>
      <c r="O490" s="9" t="str">
        <f aca="false">IF(B490="","",IF(J490&lt;2,"Needs 2+ trade sources",IF(M490&lt;=Lists!$E$6,"Good",IF(M490&lt;=Lists!$E$2,"Moderate","Bad"))))</f>
        <v/>
      </c>
    </row>
    <row r="491" customFormat="false" ht="14.25" hidden="false" customHeight="true" outlineLevel="0" collapsed="false">
      <c r="A491" s="6"/>
      <c r="B491" s="7"/>
      <c r="C491" s="8"/>
      <c r="D491" s="9" t="str">
        <f aca="false">IF(OR(B491="",C491=""),"",IFERROR(C491-INDEX(Films!$C$2:$C$100,MATCH(B491,Films!$A$2:$A$100,0))+1,""))</f>
        <v/>
      </c>
      <c r="E491" s="10"/>
      <c r="F491" s="7"/>
      <c r="G491" s="7"/>
      <c r="H491" s="7"/>
      <c r="I491" s="7"/>
      <c r="J491" s="9" t="str">
        <f aca="false">IF(B491="","",COUNTIFS($B$2:$B$500,B491,$C$2:$C$500,C491,$F$2:$F$500,F491,$H$2:$H$500,"Trade estimate"))</f>
        <v/>
      </c>
      <c r="K491" s="11" t="str">
        <f aca="false">IF(OR(J491="",J491=0),"",_xlfn.MAXIFS($E$2:$E$500,$B$2:$B$500,B491,$C$2:$C$500,C491,$F$2:$F$500,F491,$H$2:$H$500,"Trade estimate"))</f>
        <v/>
      </c>
      <c r="L491" s="11" t="str">
        <f aca="false">IF(OR(J491="",J491=0),"",_xlfn.MINIFS($E$2:$E$500,$B$2:$B$500,B491,$C$2:$C$500,C491,$F$2:$F$500,F491,$H$2:$H$500,"Trade estimate"))</f>
        <v/>
      </c>
      <c r="M491" s="12" t="str">
        <f aca="false">IF(OR(J491="",J491&lt;2),"",IF(L491=0,"",(K491-L491)/L491))</f>
        <v/>
      </c>
      <c r="N491" s="13" t="str">
        <f aca="false">IF(B491="","",IF(J491&lt;2,"Needs 2+ trade sources",IF(M491&gt;Lists!$E$2,"CHECK","OK")))</f>
        <v/>
      </c>
      <c r="O491" s="9" t="str">
        <f aca="false">IF(B491="","",IF(J491&lt;2,"Needs 2+ trade sources",IF(M491&lt;=Lists!$E$6,"Good",IF(M491&lt;=Lists!$E$2,"Moderate","Bad"))))</f>
        <v/>
      </c>
    </row>
    <row r="492" customFormat="false" ht="14.25" hidden="false" customHeight="true" outlineLevel="0" collapsed="false">
      <c r="A492" s="6"/>
      <c r="B492" s="7"/>
      <c r="C492" s="8"/>
      <c r="D492" s="9" t="str">
        <f aca="false">IF(OR(B492="",C492=""),"",IFERROR(C492-INDEX(Films!$C$2:$C$100,MATCH(B492,Films!$A$2:$A$100,0))+1,""))</f>
        <v/>
      </c>
      <c r="E492" s="10"/>
      <c r="F492" s="7"/>
      <c r="G492" s="7"/>
      <c r="H492" s="7"/>
      <c r="I492" s="7"/>
      <c r="J492" s="9" t="str">
        <f aca="false">IF(B492="","",COUNTIFS($B$2:$B$500,B492,$C$2:$C$500,C492,$F$2:$F$500,F492,$H$2:$H$500,"Trade estimate"))</f>
        <v/>
      </c>
      <c r="K492" s="11" t="str">
        <f aca="false">IF(OR(J492="",J492=0),"",_xlfn.MAXIFS($E$2:$E$500,$B$2:$B$500,B492,$C$2:$C$500,C492,$F$2:$F$500,F492,$H$2:$H$500,"Trade estimate"))</f>
        <v/>
      </c>
      <c r="L492" s="11" t="str">
        <f aca="false">IF(OR(J492="",J492=0),"",_xlfn.MINIFS($E$2:$E$500,$B$2:$B$500,B492,$C$2:$C$500,C492,$F$2:$F$500,F492,$H$2:$H$500,"Trade estimate"))</f>
        <v/>
      </c>
      <c r="M492" s="12" t="str">
        <f aca="false">IF(OR(J492="",J492&lt;2),"",IF(L492=0,"",(K492-L492)/L492))</f>
        <v/>
      </c>
      <c r="N492" s="13" t="str">
        <f aca="false">IF(B492="","",IF(J492&lt;2,"Needs 2+ trade sources",IF(M492&gt;Lists!$E$2,"CHECK","OK")))</f>
        <v/>
      </c>
      <c r="O492" s="9" t="str">
        <f aca="false">IF(B492="","",IF(J492&lt;2,"Needs 2+ trade sources",IF(M492&lt;=Lists!$E$6,"Good",IF(M492&lt;=Lists!$E$2,"Moderate","Bad"))))</f>
        <v/>
      </c>
    </row>
    <row r="493" customFormat="false" ht="14.25" hidden="false" customHeight="true" outlineLevel="0" collapsed="false">
      <c r="A493" s="6"/>
      <c r="B493" s="7"/>
      <c r="C493" s="8"/>
      <c r="D493" s="9" t="str">
        <f aca="false">IF(OR(B493="",C493=""),"",IFERROR(C493-INDEX(Films!$C$2:$C$100,MATCH(B493,Films!$A$2:$A$100,0))+1,""))</f>
        <v/>
      </c>
      <c r="E493" s="10"/>
      <c r="F493" s="7"/>
      <c r="G493" s="7"/>
      <c r="H493" s="7"/>
      <c r="I493" s="7"/>
      <c r="J493" s="9" t="str">
        <f aca="false">IF(B493="","",COUNTIFS($B$2:$B$500,B493,$C$2:$C$500,C493,$F$2:$F$500,F493,$H$2:$H$500,"Trade estimate"))</f>
        <v/>
      </c>
      <c r="K493" s="11" t="str">
        <f aca="false">IF(OR(J493="",J493=0),"",_xlfn.MAXIFS($E$2:$E$500,$B$2:$B$500,B493,$C$2:$C$500,C493,$F$2:$F$500,F493,$H$2:$H$500,"Trade estimate"))</f>
        <v/>
      </c>
      <c r="L493" s="11" t="str">
        <f aca="false">IF(OR(J493="",J493=0),"",_xlfn.MINIFS($E$2:$E$500,$B$2:$B$500,B493,$C$2:$C$500,C493,$F$2:$F$500,F493,$H$2:$H$500,"Trade estimate"))</f>
        <v/>
      </c>
      <c r="M493" s="12" t="str">
        <f aca="false">IF(OR(J493="",J493&lt;2),"",IF(L493=0,"",(K493-L493)/L493))</f>
        <v/>
      </c>
      <c r="N493" s="13" t="str">
        <f aca="false">IF(B493="","",IF(J493&lt;2,"Needs 2+ trade sources",IF(M493&gt;Lists!$E$2,"CHECK","OK")))</f>
        <v/>
      </c>
      <c r="O493" s="9" t="str">
        <f aca="false">IF(B493="","",IF(J493&lt;2,"Needs 2+ trade sources",IF(M493&lt;=Lists!$E$6,"Good",IF(M493&lt;=Lists!$E$2,"Moderate","Bad"))))</f>
        <v/>
      </c>
    </row>
    <row r="494" customFormat="false" ht="14.25" hidden="false" customHeight="true" outlineLevel="0" collapsed="false">
      <c r="A494" s="6"/>
      <c r="B494" s="7"/>
      <c r="C494" s="8"/>
      <c r="D494" s="9" t="str">
        <f aca="false">IF(OR(B494="",C494=""),"",IFERROR(C494-INDEX(Films!$C$2:$C$100,MATCH(B494,Films!$A$2:$A$100,0))+1,""))</f>
        <v/>
      </c>
      <c r="E494" s="10"/>
      <c r="F494" s="7"/>
      <c r="G494" s="7"/>
      <c r="H494" s="7"/>
      <c r="I494" s="7"/>
      <c r="J494" s="9" t="str">
        <f aca="false">IF(B494="","",COUNTIFS($B$2:$B$500,B494,$C$2:$C$500,C494,$F$2:$F$500,F494,$H$2:$H$500,"Trade estimate"))</f>
        <v/>
      </c>
      <c r="K494" s="11" t="str">
        <f aca="false">IF(OR(J494="",J494=0),"",_xlfn.MAXIFS($E$2:$E$500,$B$2:$B$500,B494,$C$2:$C$500,C494,$F$2:$F$500,F494,$H$2:$H$500,"Trade estimate"))</f>
        <v/>
      </c>
      <c r="L494" s="11" t="str">
        <f aca="false">IF(OR(J494="",J494=0),"",_xlfn.MINIFS($E$2:$E$500,$B$2:$B$500,B494,$C$2:$C$500,C494,$F$2:$F$500,F494,$H$2:$H$500,"Trade estimate"))</f>
        <v/>
      </c>
      <c r="M494" s="12" t="str">
        <f aca="false">IF(OR(J494="",J494&lt;2),"",IF(L494=0,"",(K494-L494)/L494))</f>
        <v/>
      </c>
      <c r="N494" s="13" t="str">
        <f aca="false">IF(B494="","",IF(J494&lt;2,"Needs 2+ trade sources",IF(M494&gt;Lists!$E$2,"CHECK","OK")))</f>
        <v/>
      </c>
      <c r="O494" s="9" t="str">
        <f aca="false">IF(B494="","",IF(J494&lt;2,"Needs 2+ trade sources",IF(M494&lt;=Lists!$E$6,"Good",IF(M494&lt;=Lists!$E$2,"Moderate","Bad"))))</f>
        <v/>
      </c>
    </row>
    <row r="495" customFormat="false" ht="14.25" hidden="false" customHeight="true" outlineLevel="0" collapsed="false">
      <c r="A495" s="6"/>
      <c r="B495" s="7"/>
      <c r="C495" s="8"/>
      <c r="D495" s="9" t="str">
        <f aca="false">IF(OR(B495="",C495=""),"",IFERROR(C495-INDEX(Films!$C$2:$C$100,MATCH(B495,Films!$A$2:$A$100,0))+1,""))</f>
        <v/>
      </c>
      <c r="E495" s="10"/>
      <c r="F495" s="7"/>
      <c r="G495" s="7"/>
      <c r="H495" s="7"/>
      <c r="I495" s="7"/>
      <c r="J495" s="9" t="str">
        <f aca="false">IF(B495="","",COUNTIFS($B$2:$B$500,B495,$C$2:$C$500,C495,$F$2:$F$500,F495,$H$2:$H$500,"Trade estimate"))</f>
        <v/>
      </c>
      <c r="K495" s="11" t="str">
        <f aca="false">IF(OR(J495="",J495=0),"",_xlfn.MAXIFS($E$2:$E$500,$B$2:$B$500,B495,$C$2:$C$500,C495,$F$2:$F$500,F495,$H$2:$H$500,"Trade estimate"))</f>
        <v/>
      </c>
      <c r="L495" s="11" t="str">
        <f aca="false">IF(OR(J495="",J495=0),"",_xlfn.MINIFS($E$2:$E$500,$B$2:$B$500,B495,$C$2:$C$500,C495,$F$2:$F$500,F495,$H$2:$H$500,"Trade estimate"))</f>
        <v/>
      </c>
      <c r="M495" s="12" t="str">
        <f aca="false">IF(OR(J495="",J495&lt;2),"",IF(L495=0,"",(K495-L495)/L495))</f>
        <v/>
      </c>
      <c r="N495" s="13" t="str">
        <f aca="false">IF(B495="","",IF(J495&lt;2,"Needs 2+ trade sources",IF(M495&gt;Lists!$E$2,"CHECK","OK")))</f>
        <v/>
      </c>
      <c r="O495" s="9" t="str">
        <f aca="false">IF(B495="","",IF(J495&lt;2,"Needs 2+ trade sources",IF(M495&lt;=Lists!$E$6,"Good",IF(M495&lt;=Lists!$E$2,"Moderate","Bad"))))</f>
        <v/>
      </c>
    </row>
    <row r="496" customFormat="false" ht="14.25" hidden="false" customHeight="true" outlineLevel="0" collapsed="false">
      <c r="A496" s="6"/>
      <c r="B496" s="7"/>
      <c r="C496" s="8"/>
      <c r="D496" s="9" t="str">
        <f aca="false">IF(OR(B496="",C496=""),"",IFERROR(C496-INDEX(Films!$C$2:$C$100,MATCH(B496,Films!$A$2:$A$100,0))+1,""))</f>
        <v/>
      </c>
      <c r="E496" s="10"/>
      <c r="F496" s="7"/>
      <c r="G496" s="7"/>
      <c r="H496" s="7"/>
      <c r="I496" s="7"/>
      <c r="J496" s="9" t="str">
        <f aca="false">IF(B496="","",COUNTIFS($B$2:$B$500,B496,$C$2:$C$500,C496,$F$2:$F$500,F496,$H$2:$H$500,"Trade estimate"))</f>
        <v/>
      </c>
      <c r="K496" s="11" t="str">
        <f aca="false">IF(OR(J496="",J496=0),"",_xlfn.MAXIFS($E$2:$E$500,$B$2:$B$500,B496,$C$2:$C$500,C496,$F$2:$F$500,F496,$H$2:$H$500,"Trade estimate"))</f>
        <v/>
      </c>
      <c r="L496" s="11" t="str">
        <f aca="false">IF(OR(J496="",J496=0),"",_xlfn.MINIFS($E$2:$E$500,$B$2:$B$500,B496,$C$2:$C$500,C496,$F$2:$F$500,F496,$H$2:$H$500,"Trade estimate"))</f>
        <v/>
      </c>
      <c r="M496" s="12" t="str">
        <f aca="false">IF(OR(J496="",J496&lt;2),"",IF(L496=0,"",(K496-L496)/L496))</f>
        <v/>
      </c>
      <c r="N496" s="13" t="str">
        <f aca="false">IF(B496="","",IF(J496&lt;2,"Needs 2+ trade sources",IF(M496&gt;Lists!$E$2,"CHECK","OK")))</f>
        <v/>
      </c>
      <c r="O496" s="9" t="str">
        <f aca="false">IF(B496="","",IF(J496&lt;2,"Needs 2+ trade sources",IF(M496&lt;=Lists!$E$6,"Good",IF(M496&lt;=Lists!$E$2,"Moderate","Bad"))))</f>
        <v/>
      </c>
    </row>
    <row r="497" customFormat="false" ht="14.25" hidden="false" customHeight="true" outlineLevel="0" collapsed="false">
      <c r="A497" s="6"/>
      <c r="B497" s="7"/>
      <c r="C497" s="8"/>
      <c r="D497" s="9" t="str">
        <f aca="false">IF(OR(B497="",C497=""),"",IFERROR(C497-INDEX(Films!$C$2:$C$100,MATCH(B497,Films!$A$2:$A$100,0))+1,""))</f>
        <v/>
      </c>
      <c r="E497" s="10"/>
      <c r="F497" s="7"/>
      <c r="G497" s="7"/>
      <c r="H497" s="7"/>
      <c r="I497" s="7"/>
      <c r="J497" s="9" t="str">
        <f aca="false">IF(B497="","",COUNTIFS($B$2:$B$500,B497,$C$2:$C$500,C497,$F$2:$F$500,F497,$H$2:$H$500,"Trade estimate"))</f>
        <v/>
      </c>
      <c r="K497" s="11" t="str">
        <f aca="false">IF(OR(J497="",J497=0),"",_xlfn.MAXIFS($E$2:$E$500,$B$2:$B$500,B497,$C$2:$C$500,C497,$F$2:$F$500,F497,$H$2:$H$500,"Trade estimate"))</f>
        <v/>
      </c>
      <c r="L497" s="11" t="str">
        <f aca="false">IF(OR(J497="",J497=0),"",_xlfn.MINIFS($E$2:$E$500,$B$2:$B$500,B497,$C$2:$C$500,C497,$F$2:$F$500,F497,$H$2:$H$500,"Trade estimate"))</f>
        <v/>
      </c>
      <c r="M497" s="12" t="str">
        <f aca="false">IF(OR(J497="",J497&lt;2),"",IF(L497=0,"",(K497-L497)/L497))</f>
        <v/>
      </c>
      <c r="N497" s="13" t="str">
        <f aca="false">IF(B497="","",IF(J497&lt;2,"Needs 2+ trade sources",IF(M497&gt;Lists!$E$2,"CHECK","OK")))</f>
        <v/>
      </c>
      <c r="O497" s="9" t="str">
        <f aca="false">IF(B497="","",IF(J497&lt;2,"Needs 2+ trade sources",IF(M497&lt;=Lists!$E$6,"Good",IF(M497&lt;=Lists!$E$2,"Moderate","Bad"))))</f>
        <v/>
      </c>
    </row>
    <row r="498" customFormat="false" ht="14.25" hidden="false" customHeight="true" outlineLevel="0" collapsed="false">
      <c r="A498" s="6"/>
      <c r="B498" s="7"/>
      <c r="C498" s="8"/>
      <c r="D498" s="9" t="str">
        <f aca="false">IF(OR(B498="",C498=""),"",IFERROR(C498-INDEX(Films!$C$2:$C$100,MATCH(B498,Films!$A$2:$A$100,0))+1,""))</f>
        <v/>
      </c>
      <c r="E498" s="10"/>
      <c r="F498" s="7"/>
      <c r="G498" s="7"/>
      <c r="H498" s="7"/>
      <c r="I498" s="7"/>
      <c r="J498" s="9" t="str">
        <f aca="false">IF(B498="","",COUNTIFS($B$2:$B$500,B498,$C$2:$C$500,C498,$F$2:$F$500,F498,$H$2:$H$500,"Trade estimate"))</f>
        <v/>
      </c>
      <c r="K498" s="11" t="str">
        <f aca="false">IF(OR(J498="",J498=0),"",_xlfn.MAXIFS($E$2:$E$500,$B$2:$B$500,B498,$C$2:$C$500,C498,$F$2:$F$500,F498,$H$2:$H$500,"Trade estimate"))</f>
        <v/>
      </c>
      <c r="L498" s="11" t="str">
        <f aca="false">IF(OR(J498="",J498=0),"",_xlfn.MINIFS($E$2:$E$500,$B$2:$B$500,B498,$C$2:$C$500,C498,$F$2:$F$500,F498,$H$2:$H$500,"Trade estimate"))</f>
        <v/>
      </c>
      <c r="M498" s="12" t="str">
        <f aca="false">IF(OR(J498="",J498&lt;2),"",IF(L498=0,"",(K498-L498)/L498))</f>
        <v/>
      </c>
      <c r="N498" s="13" t="str">
        <f aca="false">IF(B498="","",IF(J498&lt;2,"Needs 2+ trade sources",IF(M498&gt;Lists!$E$2,"CHECK","OK")))</f>
        <v/>
      </c>
      <c r="O498" s="9" t="str">
        <f aca="false">IF(B498="","",IF(J498&lt;2,"Needs 2+ trade sources",IF(M498&lt;=Lists!$E$6,"Good",IF(M498&lt;=Lists!$E$2,"Moderate","Bad"))))</f>
        <v/>
      </c>
    </row>
    <row r="499" customFormat="false" ht="14.25" hidden="false" customHeight="true" outlineLevel="0" collapsed="false">
      <c r="A499" s="6"/>
      <c r="B499" s="7"/>
      <c r="C499" s="8"/>
      <c r="D499" s="9" t="str">
        <f aca="false">IF(OR(B499="",C499=""),"",IFERROR(C499-INDEX(Films!$C$2:$C$100,MATCH(B499,Films!$A$2:$A$100,0))+1,""))</f>
        <v/>
      </c>
      <c r="E499" s="10"/>
      <c r="F499" s="7"/>
      <c r="G499" s="7"/>
      <c r="H499" s="7"/>
      <c r="I499" s="7"/>
      <c r="J499" s="9" t="str">
        <f aca="false">IF(B499="","",COUNTIFS($B$2:$B$500,B499,$C$2:$C$500,C499,$F$2:$F$500,F499,$H$2:$H$500,"Trade estimate"))</f>
        <v/>
      </c>
      <c r="K499" s="11" t="str">
        <f aca="false">IF(OR(J499="",J499=0),"",_xlfn.MAXIFS($E$2:$E$500,$B$2:$B$500,B499,$C$2:$C$500,C499,$F$2:$F$500,F499,$H$2:$H$500,"Trade estimate"))</f>
        <v/>
      </c>
      <c r="L499" s="11" t="str">
        <f aca="false">IF(OR(J499="",J499=0),"",_xlfn.MINIFS($E$2:$E$500,$B$2:$B$500,B499,$C$2:$C$500,C499,$F$2:$F$500,F499,$H$2:$H$500,"Trade estimate"))</f>
        <v/>
      </c>
      <c r="M499" s="12" t="str">
        <f aca="false">IF(OR(J499="",J499&lt;2),"",IF(L499=0,"",(K499-L499)/L499))</f>
        <v/>
      </c>
      <c r="N499" s="13" t="str">
        <f aca="false">IF(B499="","",IF(J499&lt;2,"Needs 2+ trade sources",IF(M499&gt;Lists!$E$2,"CHECK","OK")))</f>
        <v/>
      </c>
      <c r="O499" s="9" t="str">
        <f aca="false">IF(B499="","",IF(J499&lt;2,"Needs 2+ trade sources",IF(M499&lt;=Lists!$E$6,"Good",IF(M499&lt;=Lists!$E$2,"Moderate","Bad"))))</f>
        <v/>
      </c>
    </row>
    <row r="500" customFormat="false" ht="14.25" hidden="false" customHeight="true" outlineLevel="0" collapsed="false">
      <c r="A500" s="6"/>
      <c r="B500" s="7"/>
      <c r="C500" s="8"/>
      <c r="D500" s="9" t="str">
        <f aca="false">IF(OR(B500="",C500=""),"",IFERROR(C500-INDEX(Films!$C$2:$C$100,MATCH(B500,Films!$A$2:$A$100,0))+1,""))</f>
        <v/>
      </c>
      <c r="E500" s="10"/>
      <c r="F500" s="7"/>
      <c r="G500" s="7"/>
      <c r="H500" s="7"/>
      <c r="I500" s="7"/>
      <c r="J500" s="9" t="str">
        <f aca="false">IF(B500="","",COUNTIFS($B$2:$B$500,B500,$C$2:$C$500,C500,$F$2:$F$500,F500,$H$2:$H$500,"Trade estimate"))</f>
        <v/>
      </c>
      <c r="K500" s="11" t="str">
        <f aca="false">IF(OR(J500="",J500=0),"",_xlfn.MAXIFS($E$2:$E$500,$B$2:$B$500,B500,$C$2:$C$500,C500,$F$2:$F$500,F500,$H$2:$H$500,"Trade estimate"))</f>
        <v/>
      </c>
      <c r="L500" s="11" t="str">
        <f aca="false">IF(OR(J500="",J500=0),"",_xlfn.MINIFS($E$2:$E$500,$B$2:$B$500,B500,$C$2:$C$500,C500,$F$2:$F$500,F500,$H$2:$H$500,"Trade estimate"))</f>
        <v/>
      </c>
      <c r="M500" s="12" t="str">
        <f aca="false">IF(OR(J500="",J500&lt;2),"",IF(L500=0,"",(K500-L500)/L500))</f>
        <v/>
      </c>
      <c r="N500" s="13" t="str">
        <f aca="false">IF(B500="","",IF(J500&lt;2,"Needs 2+ trade sources",IF(M500&gt;Lists!$E$2,"CHECK","OK")))</f>
        <v/>
      </c>
      <c r="O500" s="9" t="str">
        <f aca="false">IF(B500="","",IF(J500&lt;2,"Needs 2+ trade sources",IF(M500&lt;=Lists!$E$6,"Good",IF(M500&lt;=Lists!$E$2,"Moderate","Bad"))))</f>
        <v/>
      </c>
    </row>
  </sheetData>
  <autoFilter ref="A1:N500"/>
  <conditionalFormatting sqref="N2:N500">
    <cfRule type="cellIs" priority="2" operator="equal" aboveAverage="0" equalAverage="0" bottom="0" percent="0" rank="0" text="" dxfId="10">
      <formula>"CHECK"</formula>
    </cfRule>
    <cfRule type="cellIs" priority="3" operator="equal" aboveAverage="0" equalAverage="0" bottom="0" percent="0" rank="0" text="" dxfId="11">
      <formula>"OK"</formula>
    </cfRule>
  </conditionalFormatting>
  <conditionalFormatting sqref="O2:O500">
    <cfRule type="cellIs" priority="4" operator="equal" aboveAverage="0" equalAverage="0" bottom="0" percent="0" rank="0" text="" dxfId="12">
      <formula>"Good"</formula>
    </cfRule>
    <cfRule type="cellIs" priority="5" operator="equal" aboveAverage="0" equalAverage="0" bottom="0" percent="0" rank="0" text="" dxfId="13">
      <formula>"Moderate"</formula>
    </cfRule>
    <cfRule type="cellIs" priority="6" operator="equal" aboveAverage="0" equalAverage="0" bottom="0" percent="0" rank="0" text="" dxfId="14">
      <formula>"Bad"</formula>
    </cfRule>
  </conditionalFormatting>
  <dataValidations count="4">
    <dataValidation allowBlank="true" errorStyle="stop" operator="between" showDropDown="false" showErrorMessage="false" showInputMessage="false" sqref="B2:B500" type="list">
      <formula1>Films!$A$2:$A$100</formula1>
      <formula2>0</formula2>
    </dataValidation>
    <dataValidation allowBlank="true" errorStyle="stop" operator="between" showDropDown="false" showErrorMessage="false" showInputMessage="false" sqref="F2:F500" type="list">
      <formula1>Lists!$A$2:$A$4</formula1>
      <formula2>0</formula2>
    </dataValidation>
    <dataValidation allowBlank="true" errorStyle="stop" operator="between" showDropDown="false" showErrorMessage="false" showInputMessage="false" sqref="G2:G500" type="list">
      <formula1>Sources!$A$2:$A$50</formula1>
      <formula2>0</formula2>
    </dataValidation>
    <dataValidation allowBlank="true" errorStyle="stop" operator="between" showDropDown="false" showErrorMessage="false" showInputMessage="false" sqref="H2:H500" type="list">
      <formula1>Lists!$B$2:$B$4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32"/>
    <col collapsed="false" customWidth="true" hidden="false" outlineLevel="0" max="3" min="2" style="1" width="14"/>
    <col collapsed="false" customWidth="true" hidden="false" outlineLevel="0" max="4" min="4" style="1" width="26"/>
    <col collapsed="false" customWidth="true" hidden="false" outlineLevel="0" max="5" min="5" style="1" width="40"/>
  </cols>
  <sheetData>
    <row r="1" customFormat="false" ht="31.5" hidden="false" customHeight="true" outlineLevel="0" collapsed="false">
      <c r="A1" s="5" t="s">
        <v>19</v>
      </c>
      <c r="B1" s="5" t="s">
        <v>52</v>
      </c>
      <c r="C1" s="5" t="s">
        <v>53</v>
      </c>
      <c r="D1" s="5" t="s">
        <v>54</v>
      </c>
      <c r="E1" s="5" t="s">
        <v>26</v>
      </c>
    </row>
    <row r="2" customFormat="false" ht="14.25" hidden="false" customHeight="true" outlineLevel="0" collapsed="false">
      <c r="A2" s="7" t="s">
        <v>33</v>
      </c>
      <c r="B2" s="7" t="s">
        <v>55</v>
      </c>
      <c r="C2" s="8" t="n">
        <v>46297</v>
      </c>
      <c r="D2" s="7" t="s">
        <v>56</v>
      </c>
      <c r="E2" s="7" t="s">
        <v>57</v>
      </c>
    </row>
    <row r="3" customFormat="false" ht="14.25" hidden="false" customHeight="true" outlineLevel="0" collapsed="false">
      <c r="A3" s="7" t="s">
        <v>43</v>
      </c>
      <c r="B3" s="7" t="s">
        <v>58</v>
      </c>
      <c r="C3" s="8" t="n">
        <v>46310</v>
      </c>
      <c r="D3" s="7" t="s">
        <v>59</v>
      </c>
      <c r="E3" s="7" t="s">
        <v>60</v>
      </c>
    </row>
    <row r="4" customFormat="false" ht="14.25" hidden="false" customHeight="true" outlineLevel="0" collapsed="false">
      <c r="A4" s="7" t="s">
        <v>44</v>
      </c>
      <c r="B4" s="7" t="s">
        <v>61</v>
      </c>
      <c r="C4" s="8" t="n">
        <v>46304</v>
      </c>
      <c r="D4" s="7" t="s">
        <v>62</v>
      </c>
      <c r="E4" s="7" t="s">
        <v>63</v>
      </c>
    </row>
    <row r="5" customFormat="false" ht="14.25" hidden="false" customHeight="true" outlineLevel="0" collapsed="false">
      <c r="A5" s="7" t="s">
        <v>45</v>
      </c>
      <c r="B5" s="7" t="s">
        <v>58</v>
      </c>
      <c r="C5" s="8" t="n">
        <v>46296</v>
      </c>
      <c r="D5" s="7" t="s">
        <v>64</v>
      </c>
      <c r="E5" s="7" t="s">
        <v>65</v>
      </c>
    </row>
    <row r="6" customFormat="false" ht="14.25" hidden="false" customHeight="true" outlineLevel="0" collapsed="false">
      <c r="A6" s="7" t="s">
        <v>46</v>
      </c>
      <c r="B6" s="7" t="s">
        <v>61</v>
      </c>
      <c r="C6" s="8" t="n">
        <v>46311</v>
      </c>
      <c r="D6" s="7" t="s">
        <v>66</v>
      </c>
      <c r="E6" s="7" t="s">
        <v>67</v>
      </c>
    </row>
    <row r="7" customFormat="false" ht="14.25" hidden="false" customHeight="true" outlineLevel="0" collapsed="false">
      <c r="A7" s="7" t="s">
        <v>47</v>
      </c>
      <c r="B7" s="7" t="s">
        <v>55</v>
      </c>
      <c r="C7" s="8" t="n">
        <v>46290</v>
      </c>
      <c r="D7" s="7" t="s">
        <v>68</v>
      </c>
      <c r="E7" s="7" t="s">
        <v>69</v>
      </c>
    </row>
    <row r="8" customFormat="false" ht="14.25" hidden="false" customHeight="true" outlineLevel="0" collapsed="false">
      <c r="A8" s="7" t="s">
        <v>48</v>
      </c>
      <c r="B8" s="7" t="s">
        <v>70</v>
      </c>
      <c r="C8" s="8" t="n">
        <v>46304</v>
      </c>
      <c r="D8" s="7" t="s">
        <v>71</v>
      </c>
      <c r="E8" s="7" t="s">
        <v>72</v>
      </c>
    </row>
    <row r="9" customFormat="false" ht="14.25" hidden="false" customHeight="true" outlineLevel="0" collapsed="false">
      <c r="A9" s="7" t="s">
        <v>49</v>
      </c>
      <c r="B9" s="7" t="s">
        <v>55</v>
      </c>
      <c r="C9" s="8" t="n">
        <v>46311</v>
      </c>
      <c r="D9" s="7" t="s">
        <v>73</v>
      </c>
      <c r="E9" s="7" t="s">
        <v>74</v>
      </c>
    </row>
    <row r="10" customFormat="false" ht="14.25" hidden="false" customHeight="true" outlineLevel="0" collapsed="false">
      <c r="A10" s="7" t="s">
        <v>50</v>
      </c>
      <c r="B10" s="7" t="s">
        <v>58</v>
      </c>
      <c r="C10" s="8" t="n">
        <v>46311</v>
      </c>
      <c r="D10" s="7" t="s">
        <v>75</v>
      </c>
      <c r="E10" s="7" t="s">
        <v>76</v>
      </c>
    </row>
    <row r="11" customFormat="false" ht="14.25" hidden="false" customHeight="true" outlineLevel="0" collapsed="false">
      <c r="A11" s="7" t="s">
        <v>51</v>
      </c>
      <c r="B11" s="7" t="s">
        <v>77</v>
      </c>
      <c r="C11" s="8" t="n">
        <v>46310</v>
      </c>
      <c r="D11" s="7" t="s">
        <v>78</v>
      </c>
      <c r="E11" s="7" t="s">
        <v>79</v>
      </c>
    </row>
    <row r="12" customFormat="false" ht="14.25" hidden="false" customHeight="true" outlineLevel="0" collapsed="false">
      <c r="A12" s="7"/>
      <c r="B12" s="7"/>
      <c r="C12" s="8"/>
      <c r="D12" s="7"/>
      <c r="E12" s="7"/>
    </row>
    <row r="13" customFormat="false" ht="14.25" hidden="false" customHeight="true" outlineLevel="0" collapsed="false">
      <c r="A13" s="7"/>
      <c r="B13" s="7"/>
      <c r="C13" s="8"/>
      <c r="D13" s="7"/>
      <c r="E13" s="7"/>
    </row>
    <row r="14" customFormat="false" ht="14.25" hidden="false" customHeight="true" outlineLevel="0" collapsed="false">
      <c r="A14" s="7"/>
      <c r="B14" s="7"/>
      <c r="C14" s="8"/>
      <c r="D14" s="7"/>
      <c r="E14" s="7"/>
    </row>
    <row r="15" customFormat="false" ht="14.25" hidden="false" customHeight="true" outlineLevel="0" collapsed="false">
      <c r="A15" s="7"/>
      <c r="B15" s="7"/>
      <c r="C15" s="8"/>
      <c r="D15" s="7"/>
      <c r="E15" s="7"/>
    </row>
    <row r="16" customFormat="false" ht="14.25" hidden="false" customHeight="true" outlineLevel="0" collapsed="false">
      <c r="A16" s="7"/>
      <c r="B16" s="7"/>
      <c r="C16" s="8"/>
      <c r="D16" s="7"/>
      <c r="E16" s="7"/>
    </row>
    <row r="17" customFormat="false" ht="14.25" hidden="false" customHeight="true" outlineLevel="0" collapsed="false">
      <c r="A17" s="7"/>
      <c r="B17" s="7"/>
      <c r="C17" s="8"/>
      <c r="D17" s="7"/>
      <c r="E17" s="7"/>
    </row>
    <row r="18" customFormat="false" ht="14.25" hidden="false" customHeight="true" outlineLevel="0" collapsed="false">
      <c r="A18" s="7"/>
      <c r="B18" s="7"/>
      <c r="C18" s="8"/>
      <c r="D18" s="7"/>
      <c r="E18" s="7"/>
    </row>
    <row r="19" customFormat="false" ht="14.25" hidden="false" customHeight="true" outlineLevel="0" collapsed="false">
      <c r="A19" s="7"/>
      <c r="B19" s="7"/>
      <c r="C19" s="8"/>
      <c r="D19" s="7"/>
      <c r="E19" s="7"/>
    </row>
    <row r="20" customFormat="false" ht="14.25" hidden="false" customHeight="true" outlineLevel="0" collapsed="false">
      <c r="A20" s="7"/>
      <c r="B20" s="7"/>
      <c r="C20" s="8"/>
      <c r="D20" s="7"/>
      <c r="E20" s="7"/>
    </row>
    <row r="21" customFormat="false" ht="14.25" hidden="false" customHeight="true" outlineLevel="0" collapsed="false">
      <c r="A21" s="7"/>
      <c r="B21" s="7"/>
      <c r="C21" s="8"/>
      <c r="D21" s="7"/>
      <c r="E21" s="7"/>
    </row>
    <row r="22" customFormat="false" ht="14.25" hidden="false" customHeight="true" outlineLevel="0" collapsed="false">
      <c r="A22" s="7"/>
      <c r="B22" s="7"/>
      <c r="C22" s="8"/>
      <c r="D22" s="7"/>
      <c r="E22" s="7"/>
    </row>
    <row r="23" customFormat="false" ht="14.25" hidden="false" customHeight="true" outlineLevel="0" collapsed="false">
      <c r="A23" s="7"/>
      <c r="B23" s="7"/>
      <c r="C23" s="8"/>
      <c r="D23" s="7"/>
      <c r="E23" s="7"/>
    </row>
    <row r="24" customFormat="false" ht="14.25" hidden="false" customHeight="true" outlineLevel="0" collapsed="false">
      <c r="A24" s="7"/>
      <c r="B24" s="7"/>
      <c r="C24" s="8"/>
      <c r="D24" s="7"/>
      <c r="E24" s="7"/>
    </row>
    <row r="25" customFormat="false" ht="14.25" hidden="false" customHeight="true" outlineLevel="0" collapsed="false">
      <c r="A25" s="7"/>
      <c r="B25" s="7"/>
      <c r="C25" s="8"/>
      <c r="D25" s="7"/>
      <c r="E25" s="7"/>
    </row>
    <row r="26" customFormat="false" ht="14.25" hidden="false" customHeight="true" outlineLevel="0" collapsed="false">
      <c r="A26" s="7"/>
      <c r="B26" s="7"/>
      <c r="C26" s="8"/>
      <c r="D26" s="7"/>
      <c r="E26" s="7"/>
    </row>
    <row r="27" customFormat="false" ht="14.25" hidden="false" customHeight="true" outlineLevel="0" collapsed="false">
      <c r="A27" s="7"/>
      <c r="B27" s="7"/>
      <c r="C27" s="8"/>
      <c r="D27" s="7"/>
      <c r="E27" s="7"/>
    </row>
    <row r="28" customFormat="false" ht="14.25" hidden="false" customHeight="true" outlineLevel="0" collapsed="false">
      <c r="A28" s="7"/>
      <c r="B28" s="7"/>
      <c r="C28" s="8"/>
      <c r="D28" s="7"/>
      <c r="E28" s="7"/>
    </row>
    <row r="29" customFormat="false" ht="14.25" hidden="false" customHeight="true" outlineLevel="0" collapsed="false">
      <c r="A29" s="7"/>
      <c r="B29" s="7"/>
      <c r="C29" s="8"/>
      <c r="D29" s="7"/>
      <c r="E29" s="7"/>
    </row>
    <row r="30" customFormat="false" ht="14.25" hidden="false" customHeight="true" outlineLevel="0" collapsed="false">
      <c r="A30" s="7"/>
      <c r="B30" s="7"/>
      <c r="C30" s="8"/>
      <c r="D30" s="7"/>
      <c r="E30" s="7"/>
    </row>
    <row r="31" customFormat="false" ht="14.25" hidden="false" customHeight="true" outlineLevel="0" collapsed="false">
      <c r="A31" s="7"/>
      <c r="B31" s="7"/>
      <c r="C31" s="8"/>
      <c r="D31" s="7"/>
      <c r="E31" s="7"/>
    </row>
    <row r="32" customFormat="false" ht="14.25" hidden="false" customHeight="true" outlineLevel="0" collapsed="false">
      <c r="A32" s="7"/>
      <c r="B32" s="7"/>
      <c r="C32" s="8"/>
      <c r="D32" s="7"/>
      <c r="E32" s="7"/>
    </row>
    <row r="33" customFormat="false" ht="14.25" hidden="false" customHeight="true" outlineLevel="0" collapsed="false">
      <c r="A33" s="7"/>
      <c r="B33" s="7"/>
      <c r="C33" s="8"/>
      <c r="D33" s="7"/>
      <c r="E33" s="7"/>
    </row>
    <row r="34" customFormat="false" ht="14.25" hidden="false" customHeight="true" outlineLevel="0" collapsed="false">
      <c r="A34" s="7"/>
      <c r="B34" s="7"/>
      <c r="C34" s="8"/>
      <c r="D34" s="7"/>
      <c r="E34" s="7"/>
    </row>
    <row r="35" customFormat="false" ht="14.25" hidden="false" customHeight="true" outlineLevel="0" collapsed="false">
      <c r="A35" s="7"/>
      <c r="B35" s="7"/>
      <c r="C35" s="8"/>
      <c r="D35" s="7"/>
      <c r="E35" s="7"/>
    </row>
    <row r="36" customFormat="false" ht="14.25" hidden="false" customHeight="true" outlineLevel="0" collapsed="false">
      <c r="A36" s="7"/>
      <c r="B36" s="7"/>
      <c r="C36" s="8"/>
      <c r="D36" s="7"/>
      <c r="E36" s="7"/>
    </row>
    <row r="37" customFormat="false" ht="14.25" hidden="false" customHeight="true" outlineLevel="0" collapsed="false">
      <c r="A37" s="7"/>
      <c r="B37" s="7"/>
      <c r="C37" s="8"/>
      <c r="D37" s="7"/>
      <c r="E37" s="7"/>
    </row>
    <row r="38" customFormat="false" ht="14.25" hidden="false" customHeight="true" outlineLevel="0" collapsed="false">
      <c r="A38" s="7"/>
      <c r="B38" s="7"/>
      <c r="C38" s="8"/>
      <c r="D38" s="7"/>
      <c r="E38" s="7"/>
    </row>
    <row r="39" customFormat="false" ht="14.25" hidden="false" customHeight="true" outlineLevel="0" collapsed="false">
      <c r="A39" s="7"/>
      <c r="B39" s="7"/>
      <c r="C39" s="8"/>
      <c r="D39" s="7"/>
      <c r="E39" s="7"/>
    </row>
    <row r="40" customFormat="false" ht="14.25" hidden="false" customHeight="true" outlineLevel="0" collapsed="false">
      <c r="A40" s="7"/>
      <c r="B40" s="7"/>
      <c r="C40" s="8"/>
      <c r="D40" s="7"/>
      <c r="E40" s="7"/>
    </row>
    <row r="41" customFormat="false" ht="14.25" hidden="false" customHeight="true" outlineLevel="0" collapsed="false">
      <c r="A41" s="7"/>
      <c r="B41" s="7"/>
      <c r="C41" s="8"/>
      <c r="D41" s="7"/>
      <c r="E41" s="7"/>
    </row>
    <row r="42" customFormat="false" ht="14.25" hidden="false" customHeight="true" outlineLevel="0" collapsed="false">
      <c r="A42" s="7"/>
      <c r="B42" s="7"/>
      <c r="C42" s="8"/>
      <c r="D42" s="7"/>
      <c r="E42" s="7"/>
    </row>
    <row r="43" customFormat="false" ht="14.25" hidden="false" customHeight="true" outlineLevel="0" collapsed="false">
      <c r="A43" s="7"/>
      <c r="B43" s="7"/>
      <c r="C43" s="8"/>
      <c r="D43" s="7"/>
      <c r="E43" s="7"/>
    </row>
    <row r="44" customFormat="false" ht="14.25" hidden="false" customHeight="true" outlineLevel="0" collapsed="false">
      <c r="A44" s="7"/>
      <c r="B44" s="7"/>
      <c r="C44" s="8"/>
      <c r="D44" s="7"/>
      <c r="E44" s="7"/>
    </row>
    <row r="45" customFormat="false" ht="14.25" hidden="false" customHeight="true" outlineLevel="0" collapsed="false">
      <c r="A45" s="7"/>
      <c r="B45" s="7"/>
      <c r="C45" s="8"/>
      <c r="D45" s="7"/>
      <c r="E45" s="7"/>
    </row>
    <row r="46" customFormat="false" ht="14.25" hidden="false" customHeight="true" outlineLevel="0" collapsed="false">
      <c r="A46" s="7"/>
      <c r="B46" s="7"/>
      <c r="C46" s="8"/>
      <c r="D46" s="7"/>
      <c r="E46" s="7"/>
    </row>
    <row r="47" customFormat="false" ht="14.25" hidden="false" customHeight="true" outlineLevel="0" collapsed="false">
      <c r="A47" s="7"/>
      <c r="B47" s="7"/>
      <c r="C47" s="8"/>
      <c r="D47" s="7"/>
      <c r="E47" s="7"/>
    </row>
    <row r="48" customFormat="false" ht="14.25" hidden="false" customHeight="true" outlineLevel="0" collapsed="false">
      <c r="A48" s="7"/>
      <c r="B48" s="7"/>
      <c r="C48" s="8"/>
      <c r="D48" s="7"/>
      <c r="E48" s="7"/>
    </row>
    <row r="49" customFormat="false" ht="14.25" hidden="false" customHeight="true" outlineLevel="0" collapsed="false">
      <c r="A49" s="7"/>
      <c r="B49" s="7"/>
      <c r="C49" s="8"/>
      <c r="D49" s="7"/>
      <c r="E49" s="7"/>
    </row>
    <row r="50" customFormat="false" ht="14.25" hidden="false" customHeight="true" outlineLevel="0" collapsed="false">
      <c r="A50" s="7"/>
      <c r="B50" s="7"/>
      <c r="C50" s="8"/>
      <c r="D50" s="7"/>
      <c r="E50" s="7"/>
    </row>
    <row r="51" customFormat="false" ht="14.25" hidden="false" customHeight="true" outlineLevel="0" collapsed="false">
      <c r="A51" s="7"/>
      <c r="B51" s="7"/>
      <c r="C51" s="8"/>
      <c r="D51" s="7"/>
      <c r="E51" s="7"/>
    </row>
    <row r="52" customFormat="false" ht="14.25" hidden="false" customHeight="true" outlineLevel="0" collapsed="false">
      <c r="A52" s="7"/>
      <c r="B52" s="7"/>
      <c r="C52" s="8"/>
      <c r="D52" s="7"/>
      <c r="E52" s="7"/>
    </row>
    <row r="53" customFormat="false" ht="14.25" hidden="false" customHeight="true" outlineLevel="0" collapsed="false">
      <c r="A53" s="7"/>
      <c r="B53" s="7"/>
      <c r="C53" s="8"/>
      <c r="D53" s="7"/>
      <c r="E53" s="7"/>
    </row>
    <row r="54" customFormat="false" ht="14.25" hidden="false" customHeight="true" outlineLevel="0" collapsed="false">
      <c r="A54" s="7"/>
      <c r="B54" s="7"/>
      <c r="C54" s="8"/>
      <c r="D54" s="7"/>
      <c r="E54" s="7"/>
    </row>
    <row r="55" customFormat="false" ht="14.25" hidden="false" customHeight="true" outlineLevel="0" collapsed="false">
      <c r="A55" s="7"/>
      <c r="B55" s="7"/>
      <c r="C55" s="8"/>
      <c r="D55" s="7"/>
      <c r="E55" s="7"/>
    </row>
    <row r="56" customFormat="false" ht="14.25" hidden="false" customHeight="true" outlineLevel="0" collapsed="false">
      <c r="A56" s="7"/>
      <c r="B56" s="7"/>
      <c r="C56" s="8"/>
      <c r="D56" s="7"/>
      <c r="E56" s="7"/>
    </row>
    <row r="57" customFormat="false" ht="14.25" hidden="false" customHeight="true" outlineLevel="0" collapsed="false">
      <c r="A57" s="7"/>
      <c r="B57" s="7"/>
      <c r="C57" s="8"/>
      <c r="D57" s="7"/>
      <c r="E57" s="7"/>
    </row>
    <row r="58" customFormat="false" ht="14.25" hidden="false" customHeight="true" outlineLevel="0" collapsed="false">
      <c r="A58" s="7"/>
      <c r="B58" s="7"/>
      <c r="C58" s="8"/>
      <c r="D58" s="7"/>
      <c r="E58" s="7"/>
    </row>
    <row r="59" customFormat="false" ht="14.25" hidden="false" customHeight="true" outlineLevel="0" collapsed="false">
      <c r="A59" s="7"/>
      <c r="B59" s="7"/>
      <c r="C59" s="8"/>
      <c r="D59" s="7"/>
      <c r="E59" s="7"/>
    </row>
    <row r="60" customFormat="false" ht="14.25" hidden="false" customHeight="true" outlineLevel="0" collapsed="false">
      <c r="A60" s="7"/>
      <c r="B60" s="7"/>
      <c r="C60" s="8"/>
      <c r="D60" s="7"/>
      <c r="E60" s="7"/>
    </row>
    <row r="61" customFormat="false" ht="14.25" hidden="false" customHeight="true" outlineLevel="0" collapsed="false">
      <c r="A61" s="7"/>
      <c r="B61" s="7"/>
      <c r="C61" s="8"/>
      <c r="D61" s="7"/>
      <c r="E61" s="7"/>
    </row>
    <row r="62" customFormat="false" ht="14.25" hidden="false" customHeight="true" outlineLevel="0" collapsed="false">
      <c r="A62" s="7"/>
      <c r="B62" s="7"/>
      <c r="C62" s="8"/>
      <c r="D62" s="7"/>
      <c r="E62" s="7"/>
    </row>
    <row r="63" customFormat="false" ht="14.25" hidden="false" customHeight="true" outlineLevel="0" collapsed="false">
      <c r="A63" s="7"/>
      <c r="B63" s="7"/>
      <c r="C63" s="8"/>
      <c r="D63" s="7"/>
      <c r="E63" s="7"/>
    </row>
    <row r="64" customFormat="false" ht="14.25" hidden="false" customHeight="true" outlineLevel="0" collapsed="false">
      <c r="A64" s="7"/>
      <c r="B64" s="7"/>
      <c r="C64" s="8"/>
      <c r="D64" s="7"/>
      <c r="E64" s="7"/>
    </row>
    <row r="65" customFormat="false" ht="14.25" hidden="false" customHeight="true" outlineLevel="0" collapsed="false">
      <c r="A65" s="7"/>
      <c r="B65" s="7"/>
      <c r="C65" s="8"/>
      <c r="D65" s="7"/>
      <c r="E65" s="7"/>
    </row>
    <row r="66" customFormat="false" ht="14.25" hidden="false" customHeight="true" outlineLevel="0" collapsed="false">
      <c r="A66" s="7"/>
      <c r="B66" s="7"/>
      <c r="C66" s="8"/>
      <c r="D66" s="7"/>
      <c r="E66" s="7"/>
    </row>
    <row r="67" customFormat="false" ht="14.25" hidden="false" customHeight="true" outlineLevel="0" collapsed="false">
      <c r="A67" s="7"/>
      <c r="B67" s="7"/>
      <c r="C67" s="8"/>
      <c r="D67" s="7"/>
      <c r="E67" s="7"/>
    </row>
    <row r="68" customFormat="false" ht="14.25" hidden="false" customHeight="true" outlineLevel="0" collapsed="false">
      <c r="A68" s="7"/>
      <c r="B68" s="7"/>
      <c r="C68" s="8"/>
      <c r="D68" s="7"/>
      <c r="E68" s="7"/>
    </row>
    <row r="69" customFormat="false" ht="14.25" hidden="false" customHeight="true" outlineLevel="0" collapsed="false">
      <c r="A69" s="7"/>
      <c r="B69" s="7"/>
      <c r="C69" s="8"/>
      <c r="D69" s="7"/>
      <c r="E69" s="7"/>
    </row>
    <row r="70" customFormat="false" ht="14.25" hidden="false" customHeight="true" outlineLevel="0" collapsed="false">
      <c r="A70" s="7"/>
      <c r="B70" s="7"/>
      <c r="C70" s="8"/>
      <c r="D70" s="7"/>
      <c r="E70" s="7"/>
    </row>
    <row r="71" customFormat="false" ht="14.25" hidden="false" customHeight="true" outlineLevel="0" collapsed="false">
      <c r="A71" s="7"/>
      <c r="B71" s="7"/>
      <c r="C71" s="8"/>
      <c r="D71" s="7"/>
      <c r="E71" s="7"/>
    </row>
    <row r="72" customFormat="false" ht="14.25" hidden="false" customHeight="true" outlineLevel="0" collapsed="false">
      <c r="A72" s="7"/>
      <c r="B72" s="7"/>
      <c r="C72" s="8"/>
      <c r="D72" s="7"/>
      <c r="E72" s="7"/>
    </row>
    <row r="73" customFormat="false" ht="14.25" hidden="false" customHeight="true" outlineLevel="0" collapsed="false">
      <c r="A73" s="7"/>
      <c r="B73" s="7"/>
      <c r="C73" s="8"/>
      <c r="D73" s="7"/>
      <c r="E73" s="7"/>
    </row>
    <row r="74" customFormat="false" ht="14.25" hidden="false" customHeight="true" outlineLevel="0" collapsed="false">
      <c r="A74" s="7"/>
      <c r="B74" s="7"/>
      <c r="C74" s="8"/>
      <c r="D74" s="7"/>
      <c r="E74" s="7"/>
    </row>
    <row r="75" customFormat="false" ht="14.25" hidden="false" customHeight="true" outlineLevel="0" collapsed="false">
      <c r="A75" s="7"/>
      <c r="B75" s="7"/>
      <c r="C75" s="8"/>
      <c r="D75" s="7"/>
      <c r="E75" s="7"/>
    </row>
    <row r="76" customFormat="false" ht="14.25" hidden="false" customHeight="true" outlineLevel="0" collapsed="false">
      <c r="A76" s="7"/>
      <c r="B76" s="7"/>
      <c r="C76" s="8"/>
      <c r="D76" s="7"/>
      <c r="E76" s="7"/>
    </row>
    <row r="77" customFormat="false" ht="14.25" hidden="false" customHeight="true" outlineLevel="0" collapsed="false">
      <c r="A77" s="7"/>
      <c r="B77" s="7"/>
      <c r="C77" s="8"/>
      <c r="D77" s="7"/>
      <c r="E77" s="7"/>
    </row>
    <row r="78" customFormat="false" ht="14.25" hidden="false" customHeight="true" outlineLevel="0" collapsed="false">
      <c r="A78" s="7"/>
      <c r="B78" s="7"/>
      <c r="C78" s="8"/>
      <c r="D78" s="7"/>
      <c r="E78" s="7"/>
    </row>
    <row r="79" customFormat="false" ht="14.25" hidden="false" customHeight="true" outlineLevel="0" collapsed="false">
      <c r="A79" s="7"/>
      <c r="B79" s="7"/>
      <c r="C79" s="8"/>
      <c r="D79" s="7"/>
      <c r="E79" s="7"/>
    </row>
    <row r="80" customFormat="false" ht="14.25" hidden="false" customHeight="true" outlineLevel="0" collapsed="false">
      <c r="A80" s="7"/>
      <c r="B80" s="7"/>
      <c r="C80" s="8"/>
      <c r="D80" s="7"/>
      <c r="E80" s="7"/>
    </row>
    <row r="81" customFormat="false" ht="14.25" hidden="false" customHeight="true" outlineLevel="0" collapsed="false">
      <c r="A81" s="7"/>
      <c r="B81" s="7"/>
      <c r="C81" s="8"/>
      <c r="D81" s="7"/>
      <c r="E81" s="7"/>
    </row>
    <row r="82" customFormat="false" ht="14.25" hidden="false" customHeight="true" outlineLevel="0" collapsed="false">
      <c r="A82" s="7"/>
      <c r="B82" s="7"/>
      <c r="C82" s="8"/>
      <c r="D82" s="7"/>
      <c r="E82" s="7"/>
    </row>
    <row r="83" customFormat="false" ht="14.25" hidden="false" customHeight="true" outlineLevel="0" collapsed="false">
      <c r="A83" s="7"/>
      <c r="B83" s="7"/>
      <c r="C83" s="8"/>
      <c r="D83" s="7"/>
      <c r="E83" s="7"/>
    </row>
    <row r="84" customFormat="false" ht="14.25" hidden="false" customHeight="true" outlineLevel="0" collapsed="false">
      <c r="A84" s="7"/>
      <c r="B84" s="7"/>
      <c r="C84" s="8"/>
      <c r="D84" s="7"/>
      <c r="E84" s="7"/>
    </row>
    <row r="85" customFormat="false" ht="14.25" hidden="false" customHeight="true" outlineLevel="0" collapsed="false">
      <c r="A85" s="7"/>
      <c r="B85" s="7"/>
      <c r="C85" s="8"/>
      <c r="D85" s="7"/>
      <c r="E85" s="7"/>
    </row>
    <row r="86" customFormat="false" ht="14.25" hidden="false" customHeight="true" outlineLevel="0" collapsed="false">
      <c r="A86" s="7"/>
      <c r="B86" s="7"/>
      <c r="C86" s="8"/>
      <c r="D86" s="7"/>
      <c r="E86" s="7"/>
    </row>
    <row r="87" customFormat="false" ht="14.25" hidden="false" customHeight="true" outlineLevel="0" collapsed="false">
      <c r="A87" s="7"/>
      <c r="B87" s="7"/>
      <c r="C87" s="8"/>
      <c r="D87" s="7"/>
      <c r="E87" s="7"/>
    </row>
    <row r="88" customFormat="false" ht="14.25" hidden="false" customHeight="true" outlineLevel="0" collapsed="false">
      <c r="A88" s="7"/>
      <c r="B88" s="7"/>
      <c r="C88" s="8"/>
      <c r="D88" s="7"/>
      <c r="E88" s="7"/>
    </row>
    <row r="89" customFormat="false" ht="14.25" hidden="false" customHeight="true" outlineLevel="0" collapsed="false">
      <c r="A89" s="7"/>
      <c r="B89" s="7"/>
      <c r="C89" s="8"/>
      <c r="D89" s="7"/>
      <c r="E89" s="7"/>
    </row>
    <row r="90" customFormat="false" ht="14.25" hidden="false" customHeight="true" outlineLevel="0" collapsed="false">
      <c r="A90" s="7"/>
      <c r="B90" s="7"/>
      <c r="C90" s="8"/>
      <c r="D90" s="7"/>
      <c r="E90" s="7"/>
    </row>
    <row r="91" customFormat="false" ht="14.25" hidden="false" customHeight="true" outlineLevel="0" collapsed="false">
      <c r="A91" s="7"/>
      <c r="B91" s="7"/>
      <c r="C91" s="8"/>
      <c r="D91" s="7"/>
      <c r="E91" s="7"/>
    </row>
    <row r="92" customFormat="false" ht="14.25" hidden="false" customHeight="true" outlineLevel="0" collapsed="false">
      <c r="A92" s="7"/>
      <c r="B92" s="7"/>
      <c r="C92" s="8"/>
      <c r="D92" s="7"/>
      <c r="E92" s="7"/>
    </row>
    <row r="93" customFormat="false" ht="14.25" hidden="false" customHeight="true" outlineLevel="0" collapsed="false">
      <c r="A93" s="7"/>
      <c r="B93" s="7"/>
      <c r="C93" s="8"/>
      <c r="D93" s="7"/>
      <c r="E93" s="7"/>
    </row>
    <row r="94" customFormat="false" ht="14.25" hidden="false" customHeight="true" outlineLevel="0" collapsed="false">
      <c r="A94" s="7"/>
      <c r="B94" s="7"/>
      <c r="C94" s="8"/>
      <c r="D94" s="7"/>
      <c r="E94" s="7"/>
    </row>
    <row r="95" customFormat="false" ht="14.25" hidden="false" customHeight="true" outlineLevel="0" collapsed="false">
      <c r="A95" s="7"/>
      <c r="B95" s="7"/>
      <c r="C95" s="8"/>
      <c r="D95" s="7"/>
      <c r="E95" s="7"/>
    </row>
    <row r="96" customFormat="false" ht="14.25" hidden="false" customHeight="true" outlineLevel="0" collapsed="false">
      <c r="A96" s="7"/>
      <c r="B96" s="7"/>
      <c r="C96" s="8"/>
      <c r="D96" s="7"/>
      <c r="E96" s="7"/>
    </row>
    <row r="97" customFormat="false" ht="14.25" hidden="false" customHeight="true" outlineLevel="0" collapsed="false">
      <c r="A97" s="7"/>
      <c r="B97" s="7"/>
      <c r="C97" s="8"/>
      <c r="D97" s="7"/>
      <c r="E97" s="7"/>
    </row>
    <row r="98" customFormat="false" ht="14.25" hidden="false" customHeight="true" outlineLevel="0" collapsed="false">
      <c r="A98" s="7"/>
      <c r="B98" s="7"/>
      <c r="C98" s="8"/>
      <c r="D98" s="7"/>
      <c r="E98" s="7"/>
    </row>
    <row r="99" customFormat="false" ht="14.25" hidden="false" customHeight="true" outlineLevel="0" collapsed="false">
      <c r="A99" s="7"/>
      <c r="B99" s="7"/>
      <c r="C99" s="8"/>
      <c r="D99" s="7"/>
      <c r="E99" s="7"/>
    </row>
    <row r="100" customFormat="false" ht="14.25" hidden="false" customHeight="true" outlineLevel="0" collapsed="false">
      <c r="A100" s="7"/>
      <c r="B100" s="7"/>
      <c r="C100" s="8"/>
      <c r="D100" s="7"/>
      <c r="E100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8"/>
    <col collapsed="false" customWidth="true" hidden="false" outlineLevel="0" max="3" min="3" style="1" width="26"/>
    <col collapsed="false" customWidth="true" hidden="false" outlineLevel="0" max="4" min="4" style="1" width="34"/>
    <col collapsed="false" customWidth="true" hidden="false" outlineLevel="0" max="5" min="5" style="1" width="22"/>
    <col collapsed="false" customWidth="true" hidden="false" outlineLevel="0" max="6" min="6" style="1" width="40"/>
  </cols>
  <sheetData>
    <row r="1" customFormat="false" ht="31.5" hidden="false" customHeight="true" outlineLevel="0" collapsed="false">
      <c r="A1" s="5" t="s">
        <v>24</v>
      </c>
      <c r="B1" s="5" t="s">
        <v>80</v>
      </c>
      <c r="C1" s="5" t="s">
        <v>81</v>
      </c>
      <c r="D1" s="5" t="s">
        <v>82</v>
      </c>
      <c r="E1" s="5" t="s">
        <v>83</v>
      </c>
      <c r="F1" s="5" t="s">
        <v>26</v>
      </c>
    </row>
    <row r="2" customFormat="false" ht="14.25" hidden="false" customHeight="true" outlineLevel="0" collapsed="false">
      <c r="A2" s="7" t="s">
        <v>35</v>
      </c>
      <c r="B2" s="7" t="s">
        <v>84</v>
      </c>
      <c r="C2" s="7" t="s">
        <v>85</v>
      </c>
      <c r="D2" s="7" t="s">
        <v>86</v>
      </c>
      <c r="E2" s="7" t="s">
        <v>87</v>
      </c>
      <c r="F2" s="7"/>
    </row>
    <row r="3" customFormat="false" ht="14.25" hidden="false" customHeight="true" outlineLevel="0" collapsed="false">
      <c r="A3" s="7" t="s">
        <v>39</v>
      </c>
      <c r="B3" s="7" t="s">
        <v>84</v>
      </c>
      <c r="C3" s="7" t="s">
        <v>88</v>
      </c>
      <c r="D3" s="7" t="s">
        <v>89</v>
      </c>
      <c r="E3" s="7" t="s">
        <v>87</v>
      </c>
      <c r="F3" s="7"/>
    </row>
    <row r="4" customFormat="false" ht="14.25" hidden="false" customHeight="true" outlineLevel="0" collapsed="false">
      <c r="A4" s="7" t="s">
        <v>38</v>
      </c>
      <c r="B4" s="7" t="s">
        <v>84</v>
      </c>
      <c r="C4" s="7" t="s">
        <v>90</v>
      </c>
      <c r="D4" s="7" t="s">
        <v>91</v>
      </c>
      <c r="E4" s="7" t="s">
        <v>87</v>
      </c>
      <c r="F4" s="7"/>
    </row>
    <row r="5" customFormat="false" ht="14.25" hidden="false" customHeight="true" outlineLevel="0" collapsed="false">
      <c r="A5" s="7" t="s">
        <v>92</v>
      </c>
      <c r="B5" s="7" t="s">
        <v>93</v>
      </c>
      <c r="C5" s="7" t="s">
        <v>94</v>
      </c>
      <c r="D5" s="7" t="s">
        <v>95</v>
      </c>
      <c r="E5" s="7" t="s">
        <v>87</v>
      </c>
      <c r="F5" s="7"/>
    </row>
    <row r="6" customFormat="false" ht="14.25" hidden="false" customHeight="true" outlineLevel="0" collapsed="false">
      <c r="A6" s="7" t="s">
        <v>40</v>
      </c>
      <c r="B6" s="7" t="s">
        <v>96</v>
      </c>
      <c r="C6" s="7"/>
      <c r="D6" s="7" t="s">
        <v>97</v>
      </c>
      <c r="E6" s="7" t="s">
        <v>98</v>
      </c>
      <c r="F6" s="7" t="s">
        <v>99</v>
      </c>
    </row>
    <row r="7" customFormat="false" ht="14.25" hidden="false" customHeight="true" outlineLevel="0" collapsed="false">
      <c r="A7" s="7"/>
      <c r="B7" s="7"/>
      <c r="C7" s="7"/>
      <c r="D7" s="7"/>
      <c r="E7" s="7"/>
      <c r="F7" s="7"/>
    </row>
    <row r="8" customFormat="false" ht="14.25" hidden="false" customHeight="true" outlineLevel="0" collapsed="false">
      <c r="A8" s="7"/>
      <c r="B8" s="7"/>
      <c r="C8" s="7"/>
      <c r="D8" s="7"/>
      <c r="E8" s="7"/>
      <c r="F8" s="7"/>
    </row>
    <row r="9" customFormat="false" ht="14.25" hidden="false" customHeight="true" outlineLevel="0" collapsed="false">
      <c r="A9" s="7"/>
      <c r="B9" s="7"/>
      <c r="C9" s="7"/>
      <c r="D9" s="7"/>
      <c r="E9" s="7"/>
      <c r="F9" s="7"/>
    </row>
    <row r="10" customFormat="false" ht="14.25" hidden="false" customHeight="true" outlineLevel="0" collapsed="false">
      <c r="A10" s="7"/>
      <c r="B10" s="7"/>
      <c r="C10" s="7"/>
      <c r="D10" s="7"/>
      <c r="E10" s="7"/>
      <c r="F10" s="7"/>
    </row>
    <row r="11" customFormat="false" ht="14.25" hidden="false" customHeight="true" outlineLevel="0" collapsed="false">
      <c r="A11" s="7"/>
      <c r="B11" s="7"/>
      <c r="C11" s="7"/>
      <c r="D11" s="7"/>
      <c r="E11" s="7"/>
      <c r="F11" s="7"/>
    </row>
    <row r="12" customFormat="false" ht="14.25" hidden="false" customHeight="true" outlineLevel="0" collapsed="false">
      <c r="A12" s="7"/>
      <c r="B12" s="7"/>
      <c r="C12" s="7"/>
      <c r="D12" s="7"/>
      <c r="E12" s="7"/>
      <c r="F12" s="7"/>
    </row>
    <row r="13" customFormat="false" ht="14.25" hidden="false" customHeight="true" outlineLevel="0" collapsed="false">
      <c r="A13" s="7"/>
      <c r="B13" s="7"/>
      <c r="C13" s="7"/>
      <c r="D13" s="7"/>
      <c r="E13" s="7"/>
      <c r="F13" s="7"/>
    </row>
    <row r="14" customFormat="false" ht="14.25" hidden="false" customHeight="true" outlineLevel="0" collapsed="false">
      <c r="A14" s="7"/>
      <c r="B14" s="7"/>
      <c r="C14" s="7"/>
      <c r="D14" s="7"/>
      <c r="E14" s="7"/>
      <c r="F14" s="7"/>
    </row>
    <row r="15" customFormat="false" ht="14.25" hidden="false" customHeight="true" outlineLevel="0" collapsed="false">
      <c r="A15" s="7"/>
      <c r="B15" s="7"/>
      <c r="C15" s="7"/>
      <c r="D15" s="7"/>
      <c r="E15" s="7"/>
      <c r="F15" s="7"/>
    </row>
    <row r="16" customFormat="false" ht="14.25" hidden="false" customHeight="true" outlineLevel="0" collapsed="false">
      <c r="A16" s="7"/>
      <c r="B16" s="7"/>
      <c r="C16" s="7"/>
      <c r="D16" s="7"/>
      <c r="E16" s="7"/>
      <c r="F16" s="7"/>
    </row>
    <row r="17" customFormat="false" ht="14.25" hidden="false" customHeight="true" outlineLevel="0" collapsed="false">
      <c r="A17" s="7"/>
      <c r="B17" s="7"/>
      <c r="C17" s="7"/>
      <c r="D17" s="7"/>
      <c r="E17" s="7"/>
      <c r="F17" s="7"/>
    </row>
    <row r="18" customFormat="false" ht="14.25" hidden="false" customHeight="true" outlineLevel="0" collapsed="false">
      <c r="A18" s="7"/>
      <c r="B18" s="7"/>
      <c r="C18" s="7"/>
      <c r="D18" s="7"/>
      <c r="E18" s="7"/>
      <c r="F18" s="7"/>
    </row>
    <row r="19" customFormat="false" ht="14.25" hidden="false" customHeight="true" outlineLevel="0" collapsed="false">
      <c r="A19" s="7"/>
      <c r="B19" s="7"/>
      <c r="C19" s="7"/>
      <c r="D19" s="7"/>
      <c r="E19" s="7"/>
      <c r="F19" s="7"/>
    </row>
    <row r="20" customFormat="false" ht="14.25" hidden="false" customHeight="true" outlineLevel="0" collapsed="false">
      <c r="A20" s="7"/>
      <c r="B20" s="7"/>
      <c r="C20" s="7"/>
      <c r="D20" s="7"/>
      <c r="E20" s="7"/>
      <c r="F20" s="7"/>
    </row>
    <row r="21" customFormat="false" ht="14.25" hidden="false" customHeight="true" outlineLevel="0" collapsed="false">
      <c r="A21" s="7"/>
      <c r="B21" s="7"/>
      <c r="C21" s="7"/>
      <c r="D21" s="7"/>
      <c r="E21" s="7"/>
      <c r="F21" s="7"/>
    </row>
    <row r="22" customFormat="false" ht="14.25" hidden="false" customHeight="true" outlineLevel="0" collapsed="false">
      <c r="A22" s="7"/>
      <c r="B22" s="7"/>
      <c r="C22" s="7"/>
      <c r="D22" s="7"/>
      <c r="E22" s="7"/>
      <c r="F22" s="7"/>
    </row>
    <row r="23" customFormat="false" ht="14.25" hidden="false" customHeight="true" outlineLevel="0" collapsed="false">
      <c r="A23" s="7"/>
      <c r="B23" s="7"/>
      <c r="C23" s="7"/>
      <c r="D23" s="7"/>
      <c r="E23" s="7"/>
      <c r="F23" s="7"/>
    </row>
    <row r="24" customFormat="false" ht="14.25" hidden="false" customHeight="true" outlineLevel="0" collapsed="false">
      <c r="A24" s="7"/>
      <c r="B24" s="7"/>
      <c r="C24" s="7"/>
      <c r="D24" s="7"/>
      <c r="E24" s="7"/>
      <c r="F24" s="7"/>
    </row>
    <row r="25" customFormat="false" ht="14.25" hidden="false" customHeight="true" outlineLevel="0" collapsed="false">
      <c r="A25" s="7"/>
      <c r="B25" s="7"/>
      <c r="C25" s="7"/>
      <c r="D25" s="7"/>
      <c r="E25" s="7"/>
      <c r="F25" s="7"/>
    </row>
    <row r="26" customFormat="false" ht="14.25" hidden="false" customHeight="true" outlineLevel="0" collapsed="false">
      <c r="A26" s="7"/>
      <c r="B26" s="7"/>
      <c r="C26" s="7"/>
      <c r="D26" s="7"/>
      <c r="E26" s="7"/>
      <c r="F26" s="7"/>
    </row>
    <row r="27" customFormat="false" ht="14.25" hidden="false" customHeight="true" outlineLevel="0" collapsed="false">
      <c r="A27" s="7"/>
      <c r="B27" s="7"/>
      <c r="C27" s="7"/>
      <c r="D27" s="7"/>
      <c r="E27" s="7"/>
      <c r="F27" s="7"/>
    </row>
    <row r="28" customFormat="false" ht="14.25" hidden="false" customHeight="true" outlineLevel="0" collapsed="false">
      <c r="A28" s="7"/>
      <c r="B28" s="7"/>
      <c r="C28" s="7"/>
      <c r="D28" s="7"/>
      <c r="E28" s="7"/>
      <c r="F28" s="7"/>
    </row>
    <row r="29" customFormat="false" ht="14.25" hidden="false" customHeight="true" outlineLevel="0" collapsed="false">
      <c r="A29" s="7"/>
      <c r="B29" s="7"/>
      <c r="C29" s="7"/>
      <c r="D29" s="7"/>
      <c r="E29" s="7"/>
      <c r="F29" s="7"/>
    </row>
    <row r="30" customFormat="false" ht="14.25" hidden="false" customHeight="true" outlineLevel="0" collapsed="false">
      <c r="A30" s="7"/>
      <c r="B30" s="7"/>
      <c r="C30" s="7"/>
      <c r="D30" s="7"/>
      <c r="E30" s="7"/>
      <c r="F30" s="7"/>
    </row>
    <row r="31" customFormat="false" ht="14.25" hidden="false" customHeight="true" outlineLevel="0" collapsed="false">
      <c r="A31" s="7"/>
      <c r="B31" s="7"/>
      <c r="C31" s="7"/>
      <c r="D31" s="7"/>
      <c r="E31" s="7"/>
      <c r="F31" s="7"/>
    </row>
    <row r="32" customFormat="false" ht="14.25" hidden="false" customHeight="true" outlineLevel="0" collapsed="false">
      <c r="A32" s="7"/>
      <c r="B32" s="7"/>
      <c r="C32" s="7"/>
      <c r="D32" s="7"/>
      <c r="E32" s="7"/>
      <c r="F32" s="7"/>
    </row>
    <row r="33" customFormat="false" ht="14.25" hidden="false" customHeight="true" outlineLevel="0" collapsed="false">
      <c r="A33" s="7"/>
      <c r="B33" s="7"/>
      <c r="C33" s="7"/>
      <c r="D33" s="7"/>
      <c r="E33" s="7"/>
      <c r="F33" s="7"/>
    </row>
    <row r="34" customFormat="false" ht="14.25" hidden="false" customHeight="true" outlineLevel="0" collapsed="false">
      <c r="A34" s="7"/>
      <c r="B34" s="7"/>
      <c r="C34" s="7"/>
      <c r="D34" s="7"/>
      <c r="E34" s="7"/>
      <c r="F34" s="7"/>
    </row>
    <row r="35" customFormat="false" ht="14.25" hidden="false" customHeight="true" outlineLevel="0" collapsed="false">
      <c r="A35" s="7"/>
      <c r="B35" s="7"/>
      <c r="C35" s="7"/>
      <c r="D35" s="7"/>
      <c r="E35" s="7"/>
      <c r="F35" s="7"/>
    </row>
    <row r="36" customFormat="false" ht="14.25" hidden="false" customHeight="true" outlineLevel="0" collapsed="false">
      <c r="A36" s="7"/>
      <c r="B36" s="7"/>
      <c r="C36" s="7"/>
      <c r="D36" s="7"/>
      <c r="E36" s="7"/>
      <c r="F36" s="7"/>
    </row>
    <row r="37" customFormat="false" ht="14.25" hidden="false" customHeight="true" outlineLevel="0" collapsed="false">
      <c r="A37" s="7"/>
      <c r="B37" s="7"/>
      <c r="C37" s="7"/>
      <c r="D37" s="7"/>
      <c r="E37" s="7"/>
      <c r="F37" s="7"/>
    </row>
    <row r="38" customFormat="false" ht="14.25" hidden="false" customHeight="true" outlineLevel="0" collapsed="false">
      <c r="A38" s="7"/>
      <c r="B38" s="7"/>
      <c r="C38" s="7"/>
      <c r="D38" s="7"/>
      <c r="E38" s="7"/>
      <c r="F38" s="7"/>
    </row>
    <row r="39" customFormat="false" ht="14.25" hidden="false" customHeight="true" outlineLevel="0" collapsed="false">
      <c r="A39" s="7"/>
      <c r="B39" s="7"/>
      <c r="C39" s="7"/>
      <c r="D39" s="7"/>
      <c r="E39" s="7"/>
      <c r="F39" s="7"/>
    </row>
    <row r="40" customFormat="false" ht="14.25" hidden="false" customHeight="true" outlineLevel="0" collapsed="false">
      <c r="A40" s="7"/>
      <c r="B40" s="7"/>
      <c r="C40" s="7"/>
      <c r="D40" s="7"/>
      <c r="E40" s="7"/>
      <c r="F40" s="7"/>
    </row>
    <row r="41" customFormat="false" ht="14.25" hidden="false" customHeight="true" outlineLevel="0" collapsed="false">
      <c r="A41" s="7"/>
      <c r="B41" s="7"/>
      <c r="C41" s="7"/>
      <c r="D41" s="7"/>
      <c r="E41" s="7"/>
      <c r="F41" s="7"/>
    </row>
    <row r="42" customFormat="false" ht="14.25" hidden="false" customHeight="true" outlineLevel="0" collapsed="false">
      <c r="A42" s="7"/>
      <c r="B42" s="7"/>
      <c r="C42" s="7"/>
      <c r="D42" s="7"/>
      <c r="E42" s="7"/>
      <c r="F42" s="7"/>
    </row>
    <row r="43" customFormat="false" ht="14.25" hidden="false" customHeight="true" outlineLevel="0" collapsed="false">
      <c r="A43" s="7"/>
      <c r="B43" s="7"/>
      <c r="C43" s="7"/>
      <c r="D43" s="7"/>
      <c r="E43" s="7"/>
      <c r="F43" s="7"/>
    </row>
    <row r="44" customFormat="false" ht="14.25" hidden="false" customHeight="true" outlineLevel="0" collapsed="false">
      <c r="A44" s="7"/>
      <c r="B44" s="7"/>
      <c r="C44" s="7"/>
      <c r="D44" s="7"/>
      <c r="E44" s="7"/>
      <c r="F44" s="7"/>
    </row>
    <row r="45" customFormat="false" ht="14.25" hidden="false" customHeight="true" outlineLevel="0" collapsed="false">
      <c r="A45" s="7"/>
      <c r="B45" s="7"/>
      <c r="C45" s="7"/>
      <c r="D45" s="7"/>
      <c r="E45" s="7"/>
      <c r="F45" s="7"/>
    </row>
    <row r="46" customFormat="false" ht="14.25" hidden="false" customHeight="true" outlineLevel="0" collapsed="false">
      <c r="A46" s="7"/>
      <c r="B46" s="7"/>
      <c r="C46" s="7"/>
      <c r="D46" s="7"/>
      <c r="E46" s="7"/>
      <c r="F46" s="7"/>
    </row>
    <row r="47" customFormat="false" ht="14.25" hidden="false" customHeight="true" outlineLevel="0" collapsed="false">
      <c r="A47" s="7"/>
      <c r="B47" s="7"/>
      <c r="C47" s="7"/>
      <c r="D47" s="7"/>
      <c r="E47" s="7"/>
      <c r="F47" s="7"/>
    </row>
    <row r="48" customFormat="false" ht="14.25" hidden="false" customHeight="true" outlineLevel="0" collapsed="false">
      <c r="A48" s="7"/>
      <c r="B48" s="7"/>
      <c r="C48" s="7"/>
      <c r="D48" s="7"/>
      <c r="E48" s="7"/>
      <c r="F48" s="7"/>
    </row>
    <row r="49" customFormat="false" ht="14.25" hidden="false" customHeight="true" outlineLevel="0" collapsed="false">
      <c r="A49" s="7"/>
      <c r="B49" s="7"/>
      <c r="C49" s="7"/>
      <c r="D49" s="7"/>
      <c r="E49" s="7"/>
      <c r="F49" s="7"/>
    </row>
    <row r="50" customFormat="false" ht="14.25" hidden="false" customHeight="true" outlineLevel="0" collapsed="false">
      <c r="A50" s="7"/>
      <c r="B50" s="7"/>
      <c r="C50" s="7"/>
      <c r="D50" s="7"/>
      <c r="E50" s="7"/>
      <c r="F50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32"/>
    <col collapsed="false" customWidth="true" hidden="false" outlineLevel="0" max="3" min="2" style="1" width="14"/>
    <col collapsed="false" customWidth="true" hidden="false" outlineLevel="0" max="4" min="4" style="1" width="12"/>
    <col collapsed="false" customWidth="true" hidden="false" outlineLevel="0" max="6" min="5" style="1" width="18"/>
    <col collapsed="false" customWidth="true" hidden="false" outlineLevel="0" max="7" min="7" style="1" width="16"/>
    <col collapsed="false" customWidth="true" hidden="false" outlineLevel="0" max="10" min="8" style="1" width="20"/>
    <col collapsed="false" customWidth="true" hidden="false" outlineLevel="0" max="12" min="11" style="1" width="22"/>
  </cols>
  <sheetData>
    <row r="1" customFormat="false" ht="31.5" hidden="false" customHeight="true" outlineLevel="0" collapsed="false">
      <c r="A1" s="5" t="s">
        <v>19</v>
      </c>
      <c r="B1" s="5" t="s">
        <v>52</v>
      </c>
      <c r="C1" s="5" t="s">
        <v>53</v>
      </c>
      <c r="D1" s="5" t="s">
        <v>100</v>
      </c>
      <c r="E1" s="5" t="s">
        <v>101</v>
      </c>
      <c r="F1" s="5" t="s">
        <v>102</v>
      </c>
      <c r="G1" s="5" t="s">
        <v>103</v>
      </c>
      <c r="H1" s="5" t="s">
        <v>104</v>
      </c>
      <c r="I1" s="5" t="s">
        <v>105</v>
      </c>
      <c r="J1" s="5" t="s">
        <v>106</v>
      </c>
      <c r="K1" s="5" t="s">
        <v>32</v>
      </c>
      <c r="L1" s="5" t="s">
        <v>107</v>
      </c>
    </row>
    <row r="2" customFormat="false" ht="14.25" hidden="false" customHeight="true" outlineLevel="0" collapsed="false">
      <c r="A2" s="14" t="str">
        <f aca="false">IF(Films!A2="","",Films!A2)</f>
        <v>Drishyam 3: The Conclusion</v>
      </c>
      <c r="B2" s="14" t="str">
        <f aca="false">IF(A2="","",Films!B2)</f>
        <v>Hindi</v>
      </c>
      <c r="C2" s="15" t="n">
        <f aca="false">IF(A2="","",Films!C2)</f>
        <v>46297</v>
      </c>
      <c r="D2" s="14" t="n">
        <f aca="false">IF(A2="","",IF(COUNTIFS('Daily Log'!$B$2:$B$500,A2)=0,"",_xlfn.MAXIFS('Daily Log'!$D$2:$D$500,'Daily Log'!$B$2:$B$500,A2)))</f>
        <v>15</v>
      </c>
      <c r="E2" s="16" t="n">
        <f aca="false">IF(A2="","",IFERROR(AVERAGEIFS('Daily Log'!$E$2:$E$500,'Daily Log'!$B$2:$B$500,$A2,'Daily Log'!$F$2:$F$500,"Net India",'Daily Log'!$D$2:$D$500,1,'Daily Log'!$H$2:$H$500,"Trade estimate"),IFERROR(AVERAGEIFS('Daily Log'!$E$2:$E$500,'Daily Log'!$B$2:$B$500,$A2,'Daily Log'!$F$2:$F$500,"Net India",'Daily Log'!$D$2:$D$500,D2,'Daily Log'!$H$2:$H$500,"Trade estimate"),"")))</f>
        <v>7.01666666666667</v>
      </c>
      <c r="F2" s="16" t="n">
        <f aca="false">IF(A2="","",IFERROR(AVERAGEIFS('Daily Log'!$E$2:$E$500,'Daily Log'!$B$2:$B$500,$A2,'Daily Log'!$F$2:$F$500,"Net India",'Daily Log'!$D$2:$D$500,1,'Daily Log'!$H$2:$H$500,"Producer-reported"),IFERROR(AVERAGEIFS('Daily Log'!$E$2:$E$500,'Daily Log'!$B$2:$B$500,$A2,'Daily Log'!$F$2:$F$500,"Net India",'Daily Log'!$D$2:$D$500,D2,'Daily Log'!$H$2:$H$500,"Producer-reported"),"")))</f>
        <v>8</v>
      </c>
      <c r="G2" s="17" t="n">
        <f aca="false">IF(OR(E2="",F2=""),"",IF(E2=0,"",F2/E2-1))</f>
        <v>0.140142517814727</v>
      </c>
      <c r="H2" s="16" t="n">
        <f aca="false">IF(OR(A2="",D2=""),"",IFERROR(AVERAGEIFS('Daily Log'!$E$2:$E$500,'Daily Log'!$B$2:$B$500,$A2,'Daily Log'!$F$2:$F$500,"Net India",'Daily Log'!$D$2:$D$500,D2,'Daily Log'!$H$2:$H$500,"Trade estimate"),""))</f>
        <v>7.01666666666667</v>
      </c>
      <c r="I2" s="17" t="n">
        <f aca="false">IF(A2="","",IF(COUNTIFS('Daily Log'!$B$2:$B$500,$A2,'Daily Log'!$F$2:$F$500,"Net India",'Daily Log'!$H$2:$H$500,"Trade estimate",'Daily Log'!$J$2:$J$500,"&gt;=2")=0,"",AVERAGEIFS('Daily Log'!$M$2:$M$500,'Daily Log'!$B$2:$B$500,$A2,'Daily Log'!$F$2:$F$500,"Net India",'Daily Log'!$H$2:$H$500,"Trade estimate",'Daily Log'!$J$2:$J$500,"&gt;=2")))</f>
        <v>0.0340835100648006</v>
      </c>
      <c r="J2" s="17" t="n">
        <f aca="false">IF(I2="","",_xlfn.MAXIFS('Daily Log'!$M$2:$M$500,'Daily Log'!$B$2:$B$500,$A2,'Daily Log'!$F$2:$F$500,"Net India",'Daily Log'!$H$2:$H$500,"Trade estimate",'Daily Log'!$J$2:$J$500,"&gt;=2"))</f>
        <v>0.0588235294117648</v>
      </c>
      <c r="K2" s="18" t="str">
        <f aca="false">IF(A2="","",IF(I2="","Needs 2+ trade sources",IF(I2&lt;=Lists!$E$6,"Good",IF(I2&lt;=Lists!$E$2,"Moderate","Bad"))))</f>
        <v>Good</v>
      </c>
      <c r="L2" s="18" t="str">
        <f aca="false">IF(OR(A2="",G2=""),"",IF(ABS(G2)&lt;=Lists!$E$6,"Good (Aligned)",IF(ABS(G2)&lt;=Lists!$E$2,"Moderate Gap","Bad (Inflated)")))</f>
        <v>Bad (Inflated)</v>
      </c>
    </row>
    <row r="3" customFormat="false" ht="14.25" hidden="false" customHeight="true" outlineLevel="0" collapsed="false">
      <c r="A3" s="14" t="str">
        <f aca="false">IF(Films!A3="","",Films!A3)</f>
        <v>Jailer 2</v>
      </c>
      <c r="B3" s="14" t="str">
        <f aca="false">IF(A3="","",Films!B3)</f>
        <v>Tamil</v>
      </c>
      <c r="C3" s="15" t="n">
        <f aca="false">IF(A3="","",Films!C3)</f>
        <v>46310</v>
      </c>
      <c r="D3" s="14" t="n">
        <f aca="false">IF(A3="","",IF(COUNTIFS('Daily Log'!$B$2:$B$500,A3)=0,"",_xlfn.MAXIFS('Daily Log'!$D$2:$D$500,'Daily Log'!$B$2:$B$500,A3)))</f>
        <v>2</v>
      </c>
      <c r="E3" s="16" t="n">
        <f aca="false">IF(A3="","",IFERROR(AVERAGEIFS('Daily Log'!$E$2:$E$500,'Daily Log'!$B$2:$B$500,$A3,'Daily Log'!$F$2:$F$500,"Net India",'Daily Log'!$D$2:$D$500,1,'Daily Log'!$H$2:$H$500,"Trade estimate"),IFERROR(AVERAGEIFS('Daily Log'!$E$2:$E$500,'Daily Log'!$B$2:$B$500,$A3,'Daily Log'!$F$2:$F$500,"Net India",'Daily Log'!$D$2:$D$500,D3,'Daily Log'!$H$2:$H$500,"Trade estimate"),"")))</f>
        <v>36.8333333333333</v>
      </c>
      <c r="F3" s="16" t="n">
        <f aca="false">IF(A3="","",IFERROR(AVERAGEIFS('Daily Log'!$E$2:$E$500,'Daily Log'!$B$2:$B$500,$A3,'Daily Log'!$F$2:$F$500,"Net India",'Daily Log'!$D$2:$D$500,1,'Daily Log'!$H$2:$H$500,"Producer-reported"),IFERROR(AVERAGEIFS('Daily Log'!$E$2:$E$500,'Daily Log'!$B$2:$B$500,$A3,'Daily Log'!$F$2:$F$500,"Net India",'Daily Log'!$D$2:$D$500,D3,'Daily Log'!$H$2:$H$500,"Producer-reported"),"")))</f>
        <v>45</v>
      </c>
      <c r="G3" s="17" t="n">
        <f aca="false">IF(OR(E3="",F3=""),"",IF(E3=0,"",F3/E3-1))</f>
        <v>0.221719457013575</v>
      </c>
      <c r="H3" s="16" t="n">
        <f aca="false">IF(OR(A3="",D3=""),"",IFERROR(AVERAGEIFS('Daily Log'!$E$2:$E$500,'Daily Log'!$B$2:$B$500,$A3,'Daily Log'!$F$2:$F$500,"Net India",'Daily Log'!$D$2:$D$500,D3,'Daily Log'!$H$2:$H$500,"Trade estimate"),""))</f>
        <v>20.4</v>
      </c>
      <c r="I3" s="17" t="n">
        <f aca="false">IF(A3="","",IF(COUNTIFS('Daily Log'!$B$2:$B$500,$A3,'Daily Log'!$F$2:$F$500,"Net India",'Daily Log'!$H$2:$H$500,"Trade estimate",'Daily Log'!$J$2:$J$500,"&gt;=2")=0,"",AVERAGEIFS('Daily Log'!$M$2:$M$500,'Daily Log'!$B$2:$B$500,$A3,'Daily Log'!$F$2:$F$500,"Net India",'Daily Log'!$H$2:$H$500,"Trade estimate",'Daily Log'!$J$2:$J$500,"&gt;=2")))</f>
        <v>0.0703728137896186</v>
      </c>
      <c r="J3" s="17" t="n">
        <f aca="false">IF(I3="","",_xlfn.MAXIFS('Daily Log'!$M$2:$M$500,'Daily Log'!$B$2:$B$500,$A3,'Daily Log'!$F$2:$F$500,"Net India",'Daily Log'!$H$2:$H$500,"Trade estimate",'Daily Log'!$J$2:$J$500,"&gt;=2"))</f>
        <v>0.0754189944134079</v>
      </c>
      <c r="K3" s="18" t="str">
        <f aca="false">IF(A3="","",IF(I3="","Needs 2+ trade sources",IF(I3&lt;=Lists!$E$6,"Good",IF(I3&lt;=Lists!$E$2,"Moderate","Bad"))))</f>
        <v>Moderate</v>
      </c>
      <c r="L3" s="18" t="str">
        <f aca="false">IF(OR(A3="",G3=""),"",IF(ABS(G3)&lt;=Lists!$E$6,"Good (Aligned)",IF(ABS(G3)&lt;=Lists!$E$2,"Moderate Gap","Bad (Inflated)")))</f>
        <v>Bad (Inflated)</v>
      </c>
    </row>
    <row r="4" customFormat="false" ht="14.25" hidden="false" customHeight="true" outlineLevel="0" collapsed="false">
      <c r="A4" s="14" t="str">
        <f aca="false">IF(Films!A4="","",Films!A4)</f>
        <v>Comrade Kalyan</v>
      </c>
      <c r="B4" s="14" t="str">
        <f aca="false">IF(A4="","",Films!B4)</f>
        <v>Telugu</v>
      </c>
      <c r="C4" s="15" t="n">
        <f aca="false">IF(A4="","",Films!C4)</f>
        <v>46304</v>
      </c>
      <c r="D4" s="14" t="n">
        <f aca="false">IF(A4="","",IF(COUNTIFS('Daily Log'!$B$2:$B$500,A4)=0,"",_xlfn.MAXIFS('Daily Log'!$D$2:$D$500,'Daily Log'!$B$2:$B$500,A4)))</f>
        <v>8</v>
      </c>
      <c r="E4" s="16" t="n">
        <f aca="false">IF(A4="","",IFERROR(AVERAGEIFS('Daily Log'!$E$2:$E$500,'Daily Log'!$B$2:$B$500,$A4,'Daily Log'!$F$2:$F$500,"Net India",'Daily Log'!$D$2:$D$500,1,'Daily Log'!$H$2:$H$500,"Trade estimate"),IFERROR(AVERAGEIFS('Daily Log'!$E$2:$E$500,'Daily Log'!$B$2:$B$500,$A4,'Daily Log'!$F$2:$F$500,"Net India",'Daily Log'!$D$2:$D$500,D4,'Daily Log'!$H$2:$H$500,"Trade estimate"),"")))</f>
        <v>0.49</v>
      </c>
      <c r="F4" s="16" t="n">
        <f aca="false">IF(A4="","",IFERROR(AVERAGEIFS('Daily Log'!$E$2:$E$500,'Daily Log'!$B$2:$B$500,$A4,'Daily Log'!$F$2:$F$500,"Net India",'Daily Log'!$D$2:$D$500,1,'Daily Log'!$H$2:$H$500,"Producer-reported"),IFERROR(AVERAGEIFS('Daily Log'!$E$2:$E$500,'Daily Log'!$B$2:$B$500,$A4,'Daily Log'!$F$2:$F$500,"Net India",'Daily Log'!$D$2:$D$500,D4,'Daily Log'!$H$2:$H$500,"Producer-reported"),"")))</f>
        <v>0.6</v>
      </c>
      <c r="G4" s="17" t="n">
        <f aca="false">IF(OR(E4="",F4=""),"",IF(E4=0,"",F4/E4-1))</f>
        <v>0.224489795918367</v>
      </c>
      <c r="H4" s="16" t="n">
        <f aca="false">IF(OR(A4="",D4=""),"",IFERROR(AVERAGEIFS('Daily Log'!$E$2:$E$500,'Daily Log'!$B$2:$B$500,$A4,'Daily Log'!$F$2:$F$500,"Net India",'Daily Log'!$D$2:$D$500,D4,'Daily Log'!$H$2:$H$500,"Trade estimate"),""))</f>
        <v>0.49</v>
      </c>
      <c r="I4" s="17" t="n">
        <f aca="false">IF(A4="","",IF(COUNTIFS('Daily Log'!$B$2:$B$500,$A4,'Daily Log'!$F$2:$F$500,"Net India",'Daily Log'!$H$2:$H$500,"Trade estimate",'Daily Log'!$J$2:$J$500,"&gt;=2")=0,"",AVERAGEIFS('Daily Log'!$M$2:$M$500,'Daily Log'!$B$2:$B$500,$A4,'Daily Log'!$F$2:$F$500,"Net India",'Daily Log'!$H$2:$H$500,"Trade estimate",'Daily Log'!$J$2:$J$500,"&gt;=2")))</f>
        <v>0.0488193606529587</v>
      </c>
      <c r="J4" s="17" t="n">
        <f aca="false">IF(I4="","",_xlfn.MAXIFS('Daily Log'!$M$2:$M$500,'Daily Log'!$B$2:$B$500,$A4,'Daily Log'!$F$2:$F$500,"Net India",'Daily Log'!$H$2:$H$500,"Trade estimate",'Daily Log'!$J$2:$J$500,"&gt;=2"))</f>
        <v>0.0576923076923077</v>
      </c>
      <c r="K4" s="18" t="str">
        <f aca="false">IF(A4="","",IF(I4="","Needs 2+ trade sources",IF(I4&lt;=Lists!$E$6,"Good",IF(I4&lt;=Lists!$E$2,"Moderate","Bad"))))</f>
        <v>Good</v>
      </c>
      <c r="L4" s="18" t="str">
        <f aca="false">IF(OR(A4="",G4=""),"",IF(ABS(G4)&lt;=Lists!$E$6,"Good (Aligned)",IF(ABS(G4)&lt;=Lists!$E$2,"Moderate Gap","Bad (Inflated)")))</f>
        <v>Bad (Inflated)</v>
      </c>
    </row>
    <row r="5" customFormat="false" ht="14.25" hidden="false" customHeight="true" outlineLevel="0" collapsed="false">
      <c r="A5" s="14" t="str">
        <f aca="false">IF(Films!A5="","",Films!A5)</f>
        <v>Baththa</v>
      </c>
      <c r="B5" s="14" t="str">
        <f aca="false">IF(A5="","",Films!B5)</f>
        <v>Tamil</v>
      </c>
      <c r="C5" s="15" t="n">
        <f aca="false">IF(A5="","",Films!C5)</f>
        <v>46296</v>
      </c>
      <c r="D5" s="14" t="n">
        <f aca="false">IF(A5="","",IF(COUNTIFS('Daily Log'!$B$2:$B$500,A5)=0,"",_xlfn.MAXIFS('Daily Log'!$D$2:$D$500,'Daily Log'!$B$2:$B$500,A5)))</f>
        <v>15</v>
      </c>
      <c r="E5" s="16" t="n">
        <f aca="false">IF(A5="","",IFERROR(AVERAGEIFS('Daily Log'!$E$2:$E$500,'Daily Log'!$B$2:$B$500,$A5,'Daily Log'!$F$2:$F$500,"Net India",'Daily Log'!$D$2:$D$500,1,'Daily Log'!$H$2:$H$500,"Trade estimate"),IFERROR(AVERAGEIFS('Daily Log'!$E$2:$E$500,'Daily Log'!$B$2:$B$500,$A5,'Daily Log'!$F$2:$F$500,"Net India",'Daily Log'!$D$2:$D$500,D5,'Daily Log'!$H$2:$H$500,"Trade estimate"),"")))</f>
        <v>0.825</v>
      </c>
      <c r="F5" s="16" t="n">
        <f aca="false">IF(A5="","",IFERROR(AVERAGEIFS('Daily Log'!$E$2:$E$500,'Daily Log'!$B$2:$B$500,$A5,'Daily Log'!$F$2:$F$500,"Net India",'Daily Log'!$D$2:$D$500,1,'Daily Log'!$H$2:$H$500,"Producer-reported"),IFERROR(AVERAGEIFS('Daily Log'!$E$2:$E$500,'Daily Log'!$B$2:$B$500,$A5,'Daily Log'!$F$2:$F$500,"Net India",'Daily Log'!$D$2:$D$500,D5,'Daily Log'!$H$2:$H$500,"Producer-reported"),"")))</f>
        <v>0.95</v>
      </c>
      <c r="G5" s="17" t="n">
        <f aca="false">IF(OR(E5="",F5=""),"",IF(E5=0,"",F5/E5-1))</f>
        <v>0.151515151515152</v>
      </c>
      <c r="H5" s="16" t="n">
        <f aca="false">IF(OR(A5="",D5=""),"",IFERROR(AVERAGEIFS('Daily Log'!$E$2:$E$500,'Daily Log'!$B$2:$B$500,$A5,'Daily Log'!$F$2:$F$500,"Net India",'Daily Log'!$D$2:$D$500,D5,'Daily Log'!$H$2:$H$500,"Trade estimate"),""))</f>
        <v>0.825</v>
      </c>
      <c r="I5" s="17" t="n">
        <f aca="false">IF(A5="","",IF(COUNTIFS('Daily Log'!$B$2:$B$500,$A5,'Daily Log'!$F$2:$F$500,"Net India",'Daily Log'!$H$2:$H$500,"Trade estimate",'Daily Log'!$J$2:$J$500,"&gt;=2")=0,"",AVERAGEIFS('Daily Log'!$M$2:$M$500,'Daily Log'!$B$2:$B$500,$A5,'Daily Log'!$F$2:$F$500,"Net India",'Daily Log'!$H$2:$H$500,"Trade estimate",'Daily Log'!$J$2:$J$500,"&gt;=2")))</f>
        <v>0.0602118619565595</v>
      </c>
      <c r="J5" s="17" t="n">
        <f aca="false">IF(I5="","",_xlfn.MAXIFS('Daily Log'!$M$2:$M$500,'Daily Log'!$B$2:$B$500,$A5,'Daily Log'!$F$2:$F$500,"Net India",'Daily Log'!$H$2:$H$500,"Trade estimate",'Daily Log'!$J$2:$J$500,"&gt;=2"))</f>
        <v>0.0714285714285713</v>
      </c>
      <c r="K5" s="18" t="str">
        <f aca="false">IF(A5="","",IF(I5="","Needs 2+ trade sources",IF(I5&lt;=Lists!$E$6,"Good",IF(I5&lt;=Lists!$E$2,"Moderate","Bad"))))</f>
        <v>Moderate</v>
      </c>
      <c r="L5" s="18" t="str">
        <f aca="false">IF(OR(A5="",G5=""),"",IF(ABS(G5)&lt;=Lists!$E$6,"Good (Aligned)",IF(ABS(G5)&lt;=Lists!$E$2,"Moderate Gap","Bad (Inflated)")))</f>
        <v>Bad (Inflated)</v>
      </c>
    </row>
    <row r="6" customFormat="false" ht="14.25" hidden="false" customHeight="true" outlineLevel="0" collapsed="false">
      <c r="A6" s="14" t="str">
        <f aca="false">IF(Films!A6="","",Films!A6)</f>
        <v>Ranabaali</v>
      </c>
      <c r="B6" s="14" t="str">
        <f aca="false">IF(A6="","",Films!B6)</f>
        <v>Telugu</v>
      </c>
      <c r="C6" s="15" t="n">
        <f aca="false">IF(A6="","",Films!C6)</f>
        <v>46311</v>
      </c>
      <c r="D6" s="14" t="n">
        <f aca="false">IF(A6="","",IF(COUNTIFS('Daily Log'!$B$2:$B$500,A6)=0,"",_xlfn.MAXIFS('Daily Log'!$D$2:$D$500,'Daily Log'!$B$2:$B$500,A6)))</f>
        <v>1</v>
      </c>
      <c r="E6" s="16" t="n">
        <f aca="false">IF(A6="","",IFERROR(AVERAGEIFS('Daily Log'!$E$2:$E$500,'Daily Log'!$B$2:$B$500,$A6,'Daily Log'!$F$2:$F$500,"Net India",'Daily Log'!$D$2:$D$500,1,'Daily Log'!$H$2:$H$500,"Trade estimate"),IFERROR(AVERAGEIFS('Daily Log'!$E$2:$E$500,'Daily Log'!$B$2:$B$500,$A6,'Daily Log'!$F$2:$F$500,"Net India",'Daily Log'!$D$2:$D$500,D6,'Daily Log'!$H$2:$H$500,"Trade estimate"),"")))</f>
        <v>6.59666666666667</v>
      </c>
      <c r="F6" s="16" t="n">
        <f aca="false">IF(A6="","",IFERROR(AVERAGEIFS('Daily Log'!$E$2:$E$500,'Daily Log'!$B$2:$B$500,$A6,'Daily Log'!$F$2:$F$500,"Net India",'Daily Log'!$D$2:$D$500,1,'Daily Log'!$H$2:$H$500,"Producer-reported"),IFERROR(AVERAGEIFS('Daily Log'!$E$2:$E$500,'Daily Log'!$B$2:$B$500,$A6,'Daily Log'!$F$2:$F$500,"Net India",'Daily Log'!$D$2:$D$500,D6,'Daily Log'!$H$2:$H$500,"Producer-reported"),"")))</f>
        <v>9.1</v>
      </c>
      <c r="G6" s="17" t="n">
        <f aca="false">IF(OR(E6="",F6=""),"",IF(E6=0,"",F6/E6-1))</f>
        <v>0.379484588175846</v>
      </c>
      <c r="H6" s="16" t="n">
        <f aca="false">IF(OR(A6="",D6=""),"",IFERROR(AVERAGEIFS('Daily Log'!$E$2:$E$500,'Daily Log'!$B$2:$B$500,$A6,'Daily Log'!$F$2:$F$500,"Net India",'Daily Log'!$D$2:$D$500,D6,'Daily Log'!$H$2:$H$500,"Trade estimate"),""))</f>
        <v>6.59666666666667</v>
      </c>
      <c r="I6" s="17" t="n">
        <f aca="false">IF(A6="","",IF(COUNTIFS('Daily Log'!$B$2:$B$500,$A6,'Daily Log'!$F$2:$F$500,"Net India",'Daily Log'!$H$2:$H$500,"Trade estimate",'Daily Log'!$J$2:$J$500,"&gt;=2")=0,"",AVERAGEIFS('Daily Log'!$M$2:$M$500,'Daily Log'!$B$2:$B$500,$A6,'Daily Log'!$F$2:$F$500,"Net India",'Daily Log'!$H$2:$H$500,"Trade estimate",'Daily Log'!$J$2:$J$500,"&gt;=2")))</f>
        <v>0.1424</v>
      </c>
      <c r="J6" s="17" t="n">
        <f aca="false">IF(I6="","",_xlfn.MAXIFS('Daily Log'!$M$2:$M$500,'Daily Log'!$B$2:$B$500,$A6,'Daily Log'!$F$2:$F$500,"Net India",'Daily Log'!$H$2:$H$500,"Trade estimate",'Daily Log'!$J$2:$J$500,"&gt;=2"))</f>
        <v>0.1424</v>
      </c>
      <c r="K6" s="18" t="str">
        <f aca="false">IF(A6="","",IF(I6="","Needs 2+ trade sources",IF(I6&lt;=Lists!$E$6,"Good",IF(I6&lt;=Lists!$E$2,"Moderate","Bad"))))</f>
        <v>Bad</v>
      </c>
      <c r="L6" s="18" t="str">
        <f aca="false">IF(OR(A6="",G6=""),"",IF(ABS(G6)&lt;=Lists!$E$6,"Good (Aligned)",IF(ABS(G6)&lt;=Lists!$E$2,"Moderate Gap","Bad (Inflated)")))</f>
        <v>Bad (Inflated)</v>
      </c>
    </row>
    <row r="7" customFormat="false" ht="14.25" hidden="false" customHeight="true" outlineLevel="0" collapsed="false">
      <c r="A7" s="14" t="str">
        <f aca="false">IF(Films!A7="","",Films!A7)</f>
        <v>Vvan - Force of the Forrest</v>
      </c>
      <c r="B7" s="14" t="str">
        <f aca="false">IF(A7="","",Films!B7)</f>
        <v>Hindi</v>
      </c>
      <c r="C7" s="15" t="n">
        <f aca="false">IF(A7="","",Films!C7)</f>
        <v>46290</v>
      </c>
      <c r="D7" s="14" t="n">
        <f aca="false">IF(A7="","",IF(COUNTIFS('Daily Log'!$B$2:$B$500,A7)=0,"",_xlfn.MAXIFS('Daily Log'!$D$2:$D$500,'Daily Log'!$B$2:$B$500,A7)))</f>
        <v>21</v>
      </c>
      <c r="E7" s="16" t="n">
        <f aca="false">IF(A7="","",IFERROR(AVERAGEIFS('Daily Log'!$E$2:$E$500,'Daily Log'!$B$2:$B$500,$A7,'Daily Log'!$F$2:$F$500,"Net India",'Daily Log'!$D$2:$D$500,1,'Daily Log'!$H$2:$H$500,"Trade estimate"),IFERROR(AVERAGEIFS('Daily Log'!$E$2:$E$500,'Daily Log'!$B$2:$B$500,$A7,'Daily Log'!$F$2:$F$500,"Net India",'Daily Log'!$D$2:$D$500,D7,'Daily Log'!$H$2:$H$500,"Trade estimate"),"")))</f>
        <v>0.503333333333333</v>
      </c>
      <c r="F7" s="16" t="n">
        <f aca="false">IF(A7="","",IFERROR(AVERAGEIFS('Daily Log'!$E$2:$E$500,'Daily Log'!$B$2:$B$500,$A7,'Daily Log'!$F$2:$F$500,"Net India",'Daily Log'!$D$2:$D$500,1,'Daily Log'!$H$2:$H$500,"Producer-reported"),IFERROR(AVERAGEIFS('Daily Log'!$E$2:$E$500,'Daily Log'!$B$2:$B$500,$A7,'Daily Log'!$F$2:$F$500,"Net India",'Daily Log'!$D$2:$D$500,D7,'Daily Log'!$H$2:$H$500,"Producer-reported"),"")))</f>
        <v>0.6</v>
      </c>
      <c r="G7" s="17" t="n">
        <f aca="false">IF(OR(E7="",F7=""),"",IF(E7=0,"",F7/E7-1))</f>
        <v>0.19205298013245</v>
      </c>
      <c r="H7" s="16" t="n">
        <f aca="false">IF(OR(A7="",D7=""),"",IFERROR(AVERAGEIFS('Daily Log'!$E$2:$E$500,'Daily Log'!$B$2:$B$500,$A7,'Daily Log'!$F$2:$F$500,"Net India",'Daily Log'!$D$2:$D$500,D7,'Daily Log'!$H$2:$H$500,"Trade estimate"),""))</f>
        <v>0.503333333333333</v>
      </c>
      <c r="I7" s="17" t="n">
        <f aca="false">IF(A7="","",IF(COUNTIFS('Daily Log'!$B$2:$B$500,$A7,'Daily Log'!$F$2:$F$500,"Net India",'Daily Log'!$H$2:$H$500,"Trade estimate",'Daily Log'!$J$2:$J$500,"&gt;=2")=0,"",AVERAGEIFS('Daily Log'!$M$2:$M$500,'Daily Log'!$B$2:$B$500,$A7,'Daily Log'!$F$2:$F$500,"Net India",'Daily Log'!$H$2:$H$500,"Trade estimate",'Daily Log'!$J$2:$J$500,"&gt;=2")))</f>
        <v>0.0640550917336632</v>
      </c>
      <c r="J7" s="17" t="n">
        <f aca="false">IF(I7="","",_xlfn.MAXIFS('Daily Log'!$M$2:$M$500,'Daily Log'!$B$2:$B$500,$A7,'Daily Log'!$F$2:$F$500,"Net India",'Daily Log'!$H$2:$H$500,"Trade estimate",'Daily Log'!$J$2:$J$500,"&gt;=2"))</f>
        <v>0.0714285714285715</v>
      </c>
      <c r="K7" s="18" t="str">
        <f aca="false">IF(A7="","",IF(I7="","Needs 2+ trade sources",IF(I7&lt;=Lists!$E$6,"Good",IF(I7&lt;=Lists!$E$2,"Moderate","Bad"))))</f>
        <v>Moderate</v>
      </c>
      <c r="L7" s="18" t="str">
        <f aca="false">IF(OR(A7="",G7=""),"",IF(ABS(G7)&lt;=Lists!$E$6,"Good (Aligned)",IF(ABS(G7)&lt;=Lists!$E$2,"Moderate Gap","Bad (Inflated)")))</f>
        <v>Bad (Inflated)</v>
      </c>
    </row>
    <row r="8" customFormat="false" ht="14.25" hidden="false" customHeight="true" outlineLevel="0" collapsed="false">
      <c r="A8" s="14" t="str">
        <f aca="false">IF(Films!A8="","",Films!A8)</f>
        <v>Other Mommy</v>
      </c>
      <c r="B8" s="14" t="str">
        <f aca="false">IF(A8="","",Films!B8)</f>
        <v>Other</v>
      </c>
      <c r="C8" s="15" t="n">
        <f aca="false">IF(A8="","",Films!C8)</f>
        <v>46304</v>
      </c>
      <c r="D8" s="14" t="n">
        <f aca="false">IF(A8="","",IF(COUNTIFS('Daily Log'!$B$2:$B$500,A8)=0,"",_xlfn.MAXIFS('Daily Log'!$D$2:$D$500,'Daily Log'!$B$2:$B$500,A8)))</f>
        <v>7</v>
      </c>
      <c r="E8" s="16" t="n">
        <f aca="false">IF(A8="","",IFERROR(AVERAGEIFS('Daily Log'!$E$2:$E$500,'Daily Log'!$B$2:$B$500,$A8,'Daily Log'!$F$2:$F$500,"Net India",'Daily Log'!$D$2:$D$500,1,'Daily Log'!$H$2:$H$500,"Trade estimate"),IFERROR(AVERAGEIFS('Daily Log'!$E$2:$E$500,'Daily Log'!$B$2:$B$500,$A8,'Daily Log'!$F$2:$F$500,"Net India",'Daily Log'!$D$2:$D$500,D8,'Daily Log'!$H$2:$H$500,"Trade estimate"),"")))</f>
        <v>0.33</v>
      </c>
      <c r="F8" s="16" t="n">
        <f aca="false">IF(A8="","",IFERROR(AVERAGEIFS('Daily Log'!$E$2:$E$500,'Daily Log'!$B$2:$B$500,$A8,'Daily Log'!$F$2:$F$500,"Net India",'Daily Log'!$D$2:$D$500,1,'Daily Log'!$H$2:$H$500,"Producer-reported"),IFERROR(AVERAGEIFS('Daily Log'!$E$2:$E$500,'Daily Log'!$B$2:$B$500,$A8,'Daily Log'!$F$2:$F$500,"Net India",'Daily Log'!$D$2:$D$500,D8,'Daily Log'!$H$2:$H$500,"Producer-reported"),"")))</f>
        <v>0.36</v>
      </c>
      <c r="G8" s="17" t="n">
        <f aca="false">IF(OR(E8="",F8=""),"",IF(E8=0,"",F8/E8-1))</f>
        <v>0.0909090909090908</v>
      </c>
      <c r="H8" s="16" t="n">
        <f aca="false">IF(OR(A8="",D8=""),"",IFERROR(AVERAGEIFS('Daily Log'!$E$2:$E$500,'Daily Log'!$B$2:$B$500,$A8,'Daily Log'!$F$2:$F$500,"Net India",'Daily Log'!$D$2:$D$500,D8,'Daily Log'!$H$2:$H$500,"Trade estimate"),""))</f>
        <v>0.33</v>
      </c>
      <c r="I8" s="17" t="n">
        <f aca="false">IF(A8="","",IF(COUNTIFS('Daily Log'!$B$2:$B$500,$A8,'Daily Log'!$F$2:$F$500,"Net India",'Daily Log'!$H$2:$H$500,"Trade estimate",'Daily Log'!$J$2:$J$500,"&gt;=2")=0,"",AVERAGEIFS('Daily Log'!$M$2:$M$500,'Daily Log'!$B$2:$B$500,$A8,'Daily Log'!$F$2:$F$500,"Net India",'Daily Log'!$H$2:$H$500,"Trade estimate",'Daily Log'!$J$2:$J$500,"&gt;=2")))</f>
        <v>0.04633478834519</v>
      </c>
      <c r="J8" s="17" t="n">
        <f aca="false">IF(I8="","",_xlfn.MAXIFS('Daily Log'!$M$2:$M$500,'Daily Log'!$B$2:$B$500,$A8,'Daily Log'!$F$2:$F$500,"Net India",'Daily Log'!$H$2:$H$500,"Trade estimate",'Daily Log'!$J$2:$J$500,"&gt;=2"))</f>
        <v>0.0625000000000001</v>
      </c>
      <c r="K8" s="18" t="str">
        <f aca="false">IF(A8="","",IF(I8="","Needs 2+ trade sources",IF(I8&lt;=Lists!$E$6,"Good",IF(I8&lt;=Lists!$E$2,"Moderate","Bad"))))</f>
        <v>Good</v>
      </c>
      <c r="L8" s="18" t="str">
        <f aca="false">IF(OR(A8="",G8=""),"",IF(ABS(G8)&lt;=Lists!$E$6,"Good (Aligned)",IF(ABS(G8)&lt;=Lists!$E$2,"Moderate Gap","Bad (Inflated)")))</f>
        <v>Moderate Gap</v>
      </c>
    </row>
    <row r="9" customFormat="false" ht="14.25" hidden="false" customHeight="true" outlineLevel="0" collapsed="false">
      <c r="A9" s="14" t="str">
        <f aca="false">IF(Films!A9="","",Films!A9)</f>
        <v>Prahaar - The Ujjwal Nikam Story</v>
      </c>
      <c r="B9" s="14" t="str">
        <f aca="false">IF(A9="","",Films!B9)</f>
        <v>Hindi</v>
      </c>
      <c r="C9" s="15" t="n">
        <f aca="false">IF(A9="","",Films!C9)</f>
        <v>46311</v>
      </c>
      <c r="D9" s="14" t="n">
        <f aca="false">IF(A9="","",IF(COUNTIFS('Daily Log'!$B$2:$B$500,A9)=0,"",_xlfn.MAXIFS('Daily Log'!$D$2:$D$500,'Daily Log'!$B$2:$B$500,A9)))</f>
        <v>1</v>
      </c>
      <c r="E9" s="16" t="n">
        <f aca="false">IF(A9="","",IFERROR(AVERAGEIFS('Daily Log'!$E$2:$E$500,'Daily Log'!$B$2:$B$500,$A9,'Daily Log'!$F$2:$F$500,"Net India",'Daily Log'!$D$2:$D$500,1,'Daily Log'!$H$2:$H$500,"Trade estimate"),IFERROR(AVERAGEIFS('Daily Log'!$E$2:$E$500,'Daily Log'!$B$2:$B$500,$A9,'Daily Log'!$F$2:$F$500,"Net India",'Daily Log'!$D$2:$D$500,D9,'Daily Log'!$H$2:$H$500,"Trade estimate"),"")))</f>
        <v>2.26666666666667</v>
      </c>
      <c r="F9" s="16" t="n">
        <f aca="false">IF(A9="","",IFERROR(AVERAGEIFS('Daily Log'!$E$2:$E$500,'Daily Log'!$B$2:$B$500,$A9,'Daily Log'!$F$2:$F$500,"Net India",'Daily Log'!$D$2:$D$500,1,'Daily Log'!$H$2:$H$500,"Producer-reported"),IFERROR(AVERAGEIFS('Daily Log'!$E$2:$E$500,'Daily Log'!$B$2:$B$500,$A9,'Daily Log'!$F$2:$F$500,"Net India",'Daily Log'!$D$2:$D$500,D9,'Daily Log'!$H$2:$H$500,"Producer-reported"),"")))</f>
        <v>3.1</v>
      </c>
      <c r="G9" s="17" t="n">
        <f aca="false">IF(OR(E9="",F9=""),"",IF(E9=0,"",F9/E9-1))</f>
        <v>0.367647058823529</v>
      </c>
      <c r="H9" s="16" t="n">
        <f aca="false">IF(OR(A9="",D9=""),"",IFERROR(AVERAGEIFS('Daily Log'!$E$2:$E$500,'Daily Log'!$B$2:$B$500,$A9,'Daily Log'!$F$2:$F$500,"Net India",'Daily Log'!$D$2:$D$500,D9,'Daily Log'!$H$2:$H$500,"Trade estimate"),""))</f>
        <v>2.26666666666667</v>
      </c>
      <c r="I9" s="17" t="n">
        <f aca="false">IF(A9="","",IF(COUNTIFS('Daily Log'!$B$2:$B$500,$A9,'Daily Log'!$F$2:$F$500,"Net India",'Daily Log'!$H$2:$H$500,"Trade estimate",'Daily Log'!$J$2:$J$500,"&gt;=2")=0,"",AVERAGEIFS('Daily Log'!$M$2:$M$500,'Daily Log'!$B$2:$B$500,$A9,'Daily Log'!$F$2:$F$500,"Net India",'Daily Log'!$H$2:$H$500,"Trade estimate",'Daily Log'!$J$2:$J$500,"&gt;=2")))</f>
        <v>0.166666666666667</v>
      </c>
      <c r="J9" s="17" t="n">
        <f aca="false">IF(I9="","",_xlfn.MAXIFS('Daily Log'!$M$2:$M$500,'Daily Log'!$B$2:$B$500,$A9,'Daily Log'!$F$2:$F$500,"Net India",'Daily Log'!$H$2:$H$500,"Trade estimate",'Daily Log'!$J$2:$J$500,"&gt;=2"))</f>
        <v>0.166666666666667</v>
      </c>
      <c r="K9" s="18" t="str">
        <f aca="false">IF(A9="","",IF(I9="","Needs 2+ trade sources",IF(I9&lt;=Lists!$E$6,"Good",IF(I9&lt;=Lists!$E$2,"Moderate","Bad"))))</f>
        <v>Bad</v>
      </c>
      <c r="L9" s="18" t="str">
        <f aca="false">IF(OR(A9="",G9=""),"",IF(ABS(G9)&lt;=Lists!$E$6,"Good (Aligned)",IF(ABS(G9)&lt;=Lists!$E$2,"Moderate Gap","Bad (Inflated)")))</f>
        <v>Bad (Inflated)</v>
      </c>
    </row>
    <row r="10" customFormat="false" ht="14.25" hidden="false" customHeight="true" outlineLevel="0" collapsed="false">
      <c r="A10" s="14" t="str">
        <f aca="false">IF(Films!A10="","",Films!A10)</f>
        <v>Street Fighter (Tamil)</v>
      </c>
      <c r="B10" s="14" t="str">
        <f aca="false">IF(A10="","",Films!B10)</f>
        <v>Tamil</v>
      </c>
      <c r="C10" s="15" t="n">
        <f aca="false">IF(A10="","",Films!C10)</f>
        <v>46311</v>
      </c>
      <c r="D10" s="14" t="n">
        <f aca="false">IF(A10="","",IF(COUNTIFS('Daily Log'!$B$2:$B$500,A10)=0,"",_xlfn.MAXIFS('Daily Log'!$D$2:$D$500,'Daily Log'!$B$2:$B$500,A10)))</f>
        <v>1</v>
      </c>
      <c r="E10" s="16" t="n">
        <f aca="false">IF(A10="","",IFERROR(AVERAGEIFS('Daily Log'!$E$2:$E$500,'Daily Log'!$B$2:$B$500,$A10,'Daily Log'!$F$2:$F$500,"Net India",'Daily Log'!$D$2:$D$500,1,'Daily Log'!$H$2:$H$500,"Trade estimate"),IFERROR(AVERAGEIFS('Daily Log'!$E$2:$E$500,'Daily Log'!$B$2:$B$500,$A10,'Daily Log'!$F$2:$F$500,"Net India",'Daily Log'!$D$2:$D$500,D10,'Daily Log'!$H$2:$H$500,"Trade estimate"),"")))</f>
        <v>0.91</v>
      </c>
      <c r="F10" s="16" t="n">
        <f aca="false">IF(A10="","",IFERROR(AVERAGEIFS('Daily Log'!$E$2:$E$500,'Daily Log'!$B$2:$B$500,$A10,'Daily Log'!$F$2:$F$500,"Net India",'Daily Log'!$D$2:$D$500,1,'Daily Log'!$H$2:$H$500,"Producer-reported"),IFERROR(AVERAGEIFS('Daily Log'!$E$2:$E$500,'Daily Log'!$B$2:$B$500,$A10,'Daily Log'!$F$2:$F$500,"Net India",'Daily Log'!$D$2:$D$500,D10,'Daily Log'!$H$2:$H$500,"Producer-reported"),"")))</f>
        <v>1.05</v>
      </c>
      <c r="G10" s="17" t="n">
        <f aca="false">IF(OR(E10="",F10=""),"",IF(E10=0,"",F10/E10-1))</f>
        <v>0.153846153846154</v>
      </c>
      <c r="H10" s="16" t="n">
        <f aca="false">IF(OR(A10="",D10=""),"",IFERROR(AVERAGEIFS('Daily Log'!$E$2:$E$500,'Daily Log'!$B$2:$B$500,$A10,'Daily Log'!$F$2:$F$500,"Net India",'Daily Log'!$D$2:$D$500,D10,'Daily Log'!$H$2:$H$500,"Trade estimate"),""))</f>
        <v>0.91</v>
      </c>
      <c r="I10" s="17" t="n">
        <f aca="false">IF(A10="","",IF(COUNTIFS('Daily Log'!$B$2:$B$500,$A10,'Daily Log'!$F$2:$F$500,"Net India",'Daily Log'!$H$2:$H$500,"Trade estimate",'Daily Log'!$J$2:$J$500,"&gt;=2")=0,"",AVERAGEIFS('Daily Log'!$M$2:$M$500,'Daily Log'!$B$2:$B$500,$A10,'Daily Log'!$F$2:$F$500,"Net India",'Daily Log'!$H$2:$H$500,"Trade estimate",'Daily Log'!$J$2:$J$500,"&gt;=2")))</f>
        <v>0.0681818181818181</v>
      </c>
      <c r="J10" s="17" t="n">
        <f aca="false">IF(I10="","",_xlfn.MAXIFS('Daily Log'!$M$2:$M$500,'Daily Log'!$B$2:$B$500,$A10,'Daily Log'!$F$2:$F$500,"Net India",'Daily Log'!$H$2:$H$500,"Trade estimate",'Daily Log'!$J$2:$J$500,"&gt;=2"))</f>
        <v>0.0681818181818181</v>
      </c>
      <c r="K10" s="18" t="str">
        <f aca="false">IF(A10="","",IF(I10="","Needs 2+ trade sources",IF(I10&lt;=Lists!$E$6,"Good",IF(I10&lt;=Lists!$E$2,"Moderate","Bad"))))</f>
        <v>Moderate</v>
      </c>
      <c r="L10" s="18" t="str">
        <f aca="false">IF(OR(A10="",G10=""),"",IF(ABS(G10)&lt;=Lists!$E$6,"Good (Aligned)",IF(ABS(G10)&lt;=Lists!$E$2,"Moderate Gap","Bad (Inflated)")))</f>
        <v>Bad (Inflated)</v>
      </c>
    </row>
    <row r="11" customFormat="false" ht="14.25" hidden="false" customHeight="true" outlineLevel="0" collapsed="false">
      <c r="A11" s="14" t="str">
        <f aca="false">IF(Films!A11="","",Films!A11)</f>
        <v>The Eken: Kerala-e-Kurukshetra</v>
      </c>
      <c r="B11" s="14" t="str">
        <f aca="false">IF(A11="","",Films!B11)</f>
        <v>Bengali</v>
      </c>
      <c r="C11" s="15" t="n">
        <f aca="false">IF(A11="","",Films!C11)</f>
        <v>46310</v>
      </c>
      <c r="D11" s="14" t="n">
        <f aca="false">IF(A11="","",IF(COUNTIFS('Daily Log'!$B$2:$B$500,A11)=0,"",_xlfn.MAXIFS('Daily Log'!$D$2:$D$500,'Daily Log'!$B$2:$B$500,A11)))</f>
        <v>2</v>
      </c>
      <c r="E11" s="16" t="n">
        <f aca="false">IF(A11="","",IFERROR(AVERAGEIFS('Daily Log'!$E$2:$E$500,'Daily Log'!$B$2:$B$500,$A11,'Daily Log'!$F$2:$F$500,"Net India",'Daily Log'!$D$2:$D$500,1,'Daily Log'!$H$2:$H$500,"Trade estimate"),IFERROR(AVERAGEIFS('Daily Log'!$E$2:$E$500,'Daily Log'!$B$2:$B$500,$A11,'Daily Log'!$F$2:$F$500,"Net India",'Daily Log'!$D$2:$D$500,D11,'Daily Log'!$H$2:$H$500,"Trade estimate"),"")))</f>
        <v>0.405</v>
      </c>
      <c r="F11" s="16" t="n">
        <f aca="false">IF(A11="","",IFERROR(AVERAGEIFS('Daily Log'!$E$2:$E$500,'Daily Log'!$B$2:$B$500,$A11,'Daily Log'!$F$2:$F$500,"Net India",'Daily Log'!$D$2:$D$500,1,'Daily Log'!$H$2:$H$500,"Producer-reported"),IFERROR(AVERAGEIFS('Daily Log'!$E$2:$E$500,'Daily Log'!$B$2:$B$500,$A11,'Daily Log'!$F$2:$F$500,"Net India",'Daily Log'!$D$2:$D$500,D11,'Daily Log'!$H$2:$H$500,"Producer-reported"),"")))</f>
        <v>0.48</v>
      </c>
      <c r="G11" s="17" t="n">
        <f aca="false">IF(OR(E11="",F11=""),"",IF(E11=0,"",F11/E11-1))</f>
        <v>0.185185185185185</v>
      </c>
      <c r="H11" s="16" t="n">
        <f aca="false">IF(OR(A11="",D11=""),"",IFERROR(AVERAGEIFS('Daily Log'!$E$2:$E$500,'Daily Log'!$B$2:$B$500,$A11,'Daily Log'!$F$2:$F$500,"Net India",'Daily Log'!$D$2:$D$500,D11,'Daily Log'!$H$2:$H$500,"Trade estimate"),""))</f>
        <v>0.34</v>
      </c>
      <c r="I11" s="17" t="n">
        <f aca="false">IF(A11="","",IF(COUNTIFS('Daily Log'!$B$2:$B$500,$A11,'Daily Log'!$F$2:$F$500,"Net India",'Daily Log'!$H$2:$H$500,"Trade estimate",'Daily Log'!$J$2:$J$500,"&gt;=2")=0,"",AVERAGEIFS('Daily Log'!$M$2:$M$500,'Daily Log'!$B$2:$B$500,$A11,'Daily Log'!$F$2:$F$500,"Net India",'Daily Log'!$H$2:$H$500,"Trade estimate",'Daily Log'!$J$2:$J$500,"&gt;=2")))</f>
        <v>0.0687645687645687</v>
      </c>
      <c r="J11" s="17" t="n">
        <f aca="false">IF(I11="","",_xlfn.MAXIFS('Daily Log'!$M$2:$M$500,'Daily Log'!$B$2:$B$500,$A11,'Daily Log'!$F$2:$F$500,"Net India",'Daily Log'!$H$2:$H$500,"Trade estimate",'Daily Log'!$J$2:$J$500,"&gt;=2"))</f>
        <v>0.0769230769230768</v>
      </c>
      <c r="K11" s="18" t="str">
        <f aca="false">IF(A11="","",IF(I11="","Needs 2+ trade sources",IF(I11&lt;=Lists!$E$6,"Good",IF(I11&lt;=Lists!$E$2,"Moderate","Bad"))))</f>
        <v>Moderate</v>
      </c>
      <c r="L11" s="18" t="str">
        <f aca="false">IF(OR(A11="",G11=""),"",IF(ABS(G11)&lt;=Lists!$E$6,"Good (Aligned)",IF(ABS(G11)&lt;=Lists!$E$2,"Moderate Gap","Bad (Inflated)")))</f>
        <v>Bad (Inflated)</v>
      </c>
    </row>
    <row r="12" customFormat="false" ht="14.25" hidden="false" customHeight="true" outlineLevel="0" collapsed="false">
      <c r="A12" s="14" t="str">
        <f aca="false">IF(Films!A12="","",Films!A12)</f>
        <v/>
      </c>
      <c r="B12" s="14" t="str">
        <f aca="false">IF(A12="","",Films!B12)</f>
        <v/>
      </c>
      <c r="C12" s="15" t="str">
        <f aca="false">IF(A12="","",Films!C12)</f>
        <v/>
      </c>
      <c r="D12" s="14" t="str">
        <f aca="false">IF(A12="","",IF(COUNTIFS('Daily Log'!$B$2:$B$500,A12)=0,"",_xlfn.MAXIFS('Daily Log'!$D$2:$D$500,'Daily Log'!$B$2:$B$500,A12)))</f>
        <v/>
      </c>
      <c r="E12" s="16" t="str">
        <f aca="false">IF(A12="","",IFERROR(AVERAGEIFS('Daily Log'!$E$2:$E$500,'Daily Log'!$B$2:$B$500,$A12,'Daily Log'!$F$2:$F$500,"Net India",'Daily Log'!$D$2:$D$500,1,'Daily Log'!$H$2:$H$500,"Trade estimate"),IFERROR(AVERAGEIFS('Daily Log'!$E$2:$E$500,'Daily Log'!$B$2:$B$500,$A12,'Daily Log'!$F$2:$F$500,"Net India",'Daily Log'!$D$2:$D$500,D12,'Daily Log'!$H$2:$H$500,"Trade estimate"),"")))</f>
        <v/>
      </c>
      <c r="F12" s="16" t="str">
        <f aca="false">IF(A12="","",IFERROR(AVERAGEIFS('Daily Log'!$E$2:$E$500,'Daily Log'!$B$2:$B$500,$A12,'Daily Log'!$F$2:$F$500,"Net India",'Daily Log'!$D$2:$D$500,1,'Daily Log'!$H$2:$H$500,"Producer-reported"),IFERROR(AVERAGEIFS('Daily Log'!$E$2:$E$500,'Daily Log'!$B$2:$B$500,$A12,'Daily Log'!$F$2:$F$500,"Net India",'Daily Log'!$D$2:$D$500,D12,'Daily Log'!$H$2:$H$500,"Producer-reported"),"")))</f>
        <v/>
      </c>
      <c r="G12" s="17" t="str">
        <f aca="false">IF(OR(E12="",F12=""),"",IF(E12=0,"",F12/E12-1))</f>
        <v/>
      </c>
      <c r="H12" s="16" t="str">
        <f aca="false">IF(OR(A12="",D12=""),"",IFERROR(AVERAGEIFS('Daily Log'!$E$2:$E$500,'Daily Log'!$B$2:$B$500,$A12,'Daily Log'!$F$2:$F$500,"Net India",'Daily Log'!$D$2:$D$500,D12,'Daily Log'!$H$2:$H$500,"Trade estimate"),""))</f>
        <v/>
      </c>
      <c r="I12" s="17" t="str">
        <f aca="false">IF(A12="","",IF(COUNTIFS('Daily Log'!$B$2:$B$500,$A12,'Daily Log'!$F$2:$F$500,"Net India",'Daily Log'!$H$2:$H$500,"Trade estimate",'Daily Log'!$J$2:$J$500,"&gt;=2")=0,"",AVERAGEIFS('Daily Log'!$M$2:$M$500,'Daily Log'!$B$2:$B$500,$A12,'Daily Log'!$F$2:$F$500,"Net India",'Daily Log'!$H$2:$H$500,"Trade estimate",'Daily Log'!$J$2:$J$500,"&gt;=2")))</f>
        <v/>
      </c>
      <c r="J12" s="17" t="str">
        <f aca="false">IF(I12="","",_xlfn.MAXIFS('Daily Log'!$M$2:$M$500,'Daily Log'!$B$2:$B$500,$A12,'Daily Log'!$F$2:$F$500,"Net India",'Daily Log'!$H$2:$H$500,"Trade estimate",'Daily Log'!$J$2:$J$500,"&gt;=2"))</f>
        <v/>
      </c>
      <c r="K12" s="18" t="str">
        <f aca="false">IF(A12="","",IF(I12="","Needs 2+ trade sources",IF(I12&lt;=Lists!$E$6,"Good",IF(I12&lt;=Lists!$E$2,"Moderate","Bad"))))</f>
        <v/>
      </c>
      <c r="L12" s="18" t="str">
        <f aca="false">IF(OR(A12="",G12=""),"",IF(ABS(G12)&lt;=Lists!$E$6,"Good (Aligned)",IF(ABS(G12)&lt;=Lists!$E$2,"Moderate Gap","Bad (Inflated)")))</f>
        <v/>
      </c>
    </row>
    <row r="13" customFormat="false" ht="14.25" hidden="false" customHeight="true" outlineLevel="0" collapsed="false">
      <c r="A13" s="14" t="str">
        <f aca="false">IF(Films!A13="","",Films!A13)</f>
        <v/>
      </c>
      <c r="B13" s="14" t="str">
        <f aca="false">IF(A13="","",Films!B13)</f>
        <v/>
      </c>
      <c r="C13" s="15" t="str">
        <f aca="false">IF(A13="","",Films!C13)</f>
        <v/>
      </c>
      <c r="D13" s="14" t="str">
        <f aca="false">IF(A13="","",IF(COUNTIFS('Daily Log'!$B$2:$B$500,A13)=0,"",_xlfn.MAXIFS('Daily Log'!$D$2:$D$500,'Daily Log'!$B$2:$B$500,A13)))</f>
        <v/>
      </c>
      <c r="E13" s="16" t="str">
        <f aca="false">IF(A13="","",IFERROR(AVERAGEIFS('Daily Log'!$E$2:$E$500,'Daily Log'!$B$2:$B$500,$A13,'Daily Log'!$F$2:$F$500,"Net India",'Daily Log'!$D$2:$D$500,1,'Daily Log'!$H$2:$H$500,"Trade estimate"),IFERROR(AVERAGEIFS('Daily Log'!$E$2:$E$500,'Daily Log'!$B$2:$B$500,$A13,'Daily Log'!$F$2:$F$500,"Net India",'Daily Log'!$D$2:$D$500,D13,'Daily Log'!$H$2:$H$500,"Trade estimate"),"")))</f>
        <v/>
      </c>
      <c r="F13" s="16" t="str">
        <f aca="false">IF(A13="","",IFERROR(AVERAGEIFS('Daily Log'!$E$2:$E$500,'Daily Log'!$B$2:$B$500,$A13,'Daily Log'!$F$2:$F$500,"Net India",'Daily Log'!$D$2:$D$500,1,'Daily Log'!$H$2:$H$500,"Producer-reported"),IFERROR(AVERAGEIFS('Daily Log'!$E$2:$E$500,'Daily Log'!$B$2:$B$500,$A13,'Daily Log'!$F$2:$F$500,"Net India",'Daily Log'!$D$2:$D$500,D13,'Daily Log'!$H$2:$H$500,"Producer-reported"),"")))</f>
        <v/>
      </c>
      <c r="G13" s="17" t="str">
        <f aca="false">IF(OR(E13="",F13=""),"",IF(E13=0,"",F13/E13-1))</f>
        <v/>
      </c>
      <c r="H13" s="16" t="str">
        <f aca="false">IF(OR(A13="",D13=""),"",IFERROR(AVERAGEIFS('Daily Log'!$E$2:$E$500,'Daily Log'!$B$2:$B$500,$A13,'Daily Log'!$F$2:$F$500,"Net India",'Daily Log'!$D$2:$D$500,D13,'Daily Log'!$H$2:$H$500,"Trade estimate"),""))</f>
        <v/>
      </c>
      <c r="I13" s="17" t="str">
        <f aca="false">IF(A13="","",IF(COUNTIFS('Daily Log'!$B$2:$B$500,$A13,'Daily Log'!$F$2:$F$500,"Net India",'Daily Log'!$H$2:$H$500,"Trade estimate",'Daily Log'!$J$2:$J$500,"&gt;=2")=0,"",AVERAGEIFS('Daily Log'!$M$2:$M$500,'Daily Log'!$B$2:$B$500,$A13,'Daily Log'!$F$2:$F$500,"Net India",'Daily Log'!$H$2:$H$500,"Trade estimate",'Daily Log'!$J$2:$J$500,"&gt;=2")))</f>
        <v/>
      </c>
      <c r="J13" s="17" t="str">
        <f aca="false">IF(I13="","",_xlfn.MAXIFS('Daily Log'!$M$2:$M$500,'Daily Log'!$B$2:$B$500,$A13,'Daily Log'!$F$2:$F$500,"Net India",'Daily Log'!$H$2:$H$500,"Trade estimate",'Daily Log'!$J$2:$J$500,"&gt;=2"))</f>
        <v/>
      </c>
      <c r="K13" s="18" t="str">
        <f aca="false">IF(A13="","",IF(I13="","Needs 2+ trade sources",IF(I13&lt;=Lists!$E$6,"Good",IF(I13&lt;=Lists!$E$2,"Moderate","Bad"))))</f>
        <v/>
      </c>
      <c r="L13" s="18" t="str">
        <f aca="false">IF(OR(A13="",G13=""),"",IF(ABS(G13)&lt;=Lists!$E$6,"Good (Aligned)",IF(ABS(G13)&lt;=Lists!$E$2,"Moderate Gap","Bad (Inflated)")))</f>
        <v/>
      </c>
    </row>
    <row r="14" customFormat="false" ht="14.25" hidden="false" customHeight="true" outlineLevel="0" collapsed="false">
      <c r="A14" s="14" t="str">
        <f aca="false">IF(Films!A14="","",Films!A14)</f>
        <v/>
      </c>
      <c r="B14" s="14" t="str">
        <f aca="false">IF(A14="","",Films!B14)</f>
        <v/>
      </c>
      <c r="C14" s="15" t="str">
        <f aca="false">IF(A14="","",Films!C14)</f>
        <v/>
      </c>
      <c r="D14" s="14" t="str">
        <f aca="false">IF(A14="","",IF(COUNTIFS('Daily Log'!$B$2:$B$500,A14)=0,"",_xlfn.MAXIFS('Daily Log'!$D$2:$D$500,'Daily Log'!$B$2:$B$500,A14)))</f>
        <v/>
      </c>
      <c r="E14" s="16" t="str">
        <f aca="false">IF(A14="","",IFERROR(AVERAGEIFS('Daily Log'!$E$2:$E$500,'Daily Log'!$B$2:$B$500,$A14,'Daily Log'!$F$2:$F$500,"Net India",'Daily Log'!$D$2:$D$500,1,'Daily Log'!$H$2:$H$500,"Trade estimate"),IFERROR(AVERAGEIFS('Daily Log'!$E$2:$E$500,'Daily Log'!$B$2:$B$500,$A14,'Daily Log'!$F$2:$F$500,"Net India",'Daily Log'!$D$2:$D$500,D14,'Daily Log'!$H$2:$H$500,"Trade estimate"),"")))</f>
        <v/>
      </c>
      <c r="F14" s="16" t="str">
        <f aca="false">IF(A14="","",IFERROR(AVERAGEIFS('Daily Log'!$E$2:$E$500,'Daily Log'!$B$2:$B$500,$A14,'Daily Log'!$F$2:$F$500,"Net India",'Daily Log'!$D$2:$D$500,1,'Daily Log'!$H$2:$H$500,"Producer-reported"),IFERROR(AVERAGEIFS('Daily Log'!$E$2:$E$500,'Daily Log'!$B$2:$B$500,$A14,'Daily Log'!$F$2:$F$500,"Net India",'Daily Log'!$D$2:$D$500,D14,'Daily Log'!$H$2:$H$500,"Producer-reported"),"")))</f>
        <v/>
      </c>
      <c r="G14" s="17" t="str">
        <f aca="false">IF(OR(E14="",F14=""),"",IF(E14=0,"",F14/E14-1))</f>
        <v/>
      </c>
      <c r="H14" s="16" t="str">
        <f aca="false">IF(OR(A14="",D14=""),"",IFERROR(AVERAGEIFS('Daily Log'!$E$2:$E$500,'Daily Log'!$B$2:$B$500,$A14,'Daily Log'!$F$2:$F$500,"Net India",'Daily Log'!$D$2:$D$500,D14,'Daily Log'!$H$2:$H$500,"Trade estimate"),""))</f>
        <v/>
      </c>
      <c r="I14" s="17" t="str">
        <f aca="false">IF(A14="","",IF(COUNTIFS('Daily Log'!$B$2:$B$500,$A14,'Daily Log'!$F$2:$F$500,"Net India",'Daily Log'!$H$2:$H$500,"Trade estimate",'Daily Log'!$J$2:$J$500,"&gt;=2")=0,"",AVERAGEIFS('Daily Log'!$M$2:$M$500,'Daily Log'!$B$2:$B$500,$A14,'Daily Log'!$F$2:$F$500,"Net India",'Daily Log'!$H$2:$H$500,"Trade estimate",'Daily Log'!$J$2:$J$500,"&gt;=2")))</f>
        <v/>
      </c>
      <c r="J14" s="17" t="str">
        <f aca="false">IF(I14="","",_xlfn.MAXIFS('Daily Log'!$M$2:$M$500,'Daily Log'!$B$2:$B$500,$A14,'Daily Log'!$F$2:$F$500,"Net India",'Daily Log'!$H$2:$H$500,"Trade estimate",'Daily Log'!$J$2:$J$500,"&gt;=2"))</f>
        <v/>
      </c>
      <c r="K14" s="18" t="str">
        <f aca="false">IF(A14="","",IF(I14="","Needs 2+ trade sources",IF(I14&lt;=Lists!$E$6,"Good",IF(I14&lt;=Lists!$E$2,"Moderate","Bad"))))</f>
        <v/>
      </c>
      <c r="L14" s="18" t="str">
        <f aca="false">IF(OR(A14="",G14=""),"",IF(ABS(G14)&lt;=Lists!$E$6,"Good (Aligned)",IF(ABS(G14)&lt;=Lists!$E$2,"Moderate Gap","Bad (Inflated)")))</f>
        <v/>
      </c>
    </row>
    <row r="15" customFormat="false" ht="14.25" hidden="false" customHeight="true" outlineLevel="0" collapsed="false">
      <c r="A15" s="14" t="str">
        <f aca="false">IF(Films!A15="","",Films!A15)</f>
        <v/>
      </c>
      <c r="B15" s="14" t="str">
        <f aca="false">IF(A15="","",Films!B15)</f>
        <v/>
      </c>
      <c r="C15" s="15" t="str">
        <f aca="false">IF(A15="","",Films!C15)</f>
        <v/>
      </c>
      <c r="D15" s="14" t="str">
        <f aca="false">IF(A15="","",IF(COUNTIFS('Daily Log'!$B$2:$B$500,A15)=0,"",_xlfn.MAXIFS('Daily Log'!$D$2:$D$500,'Daily Log'!$B$2:$B$500,A15)))</f>
        <v/>
      </c>
      <c r="E15" s="16" t="str">
        <f aca="false">IF(A15="","",IFERROR(AVERAGEIFS('Daily Log'!$E$2:$E$500,'Daily Log'!$B$2:$B$500,$A15,'Daily Log'!$F$2:$F$500,"Net India",'Daily Log'!$D$2:$D$500,1,'Daily Log'!$H$2:$H$500,"Trade estimate"),IFERROR(AVERAGEIFS('Daily Log'!$E$2:$E$500,'Daily Log'!$B$2:$B$500,$A15,'Daily Log'!$F$2:$F$500,"Net India",'Daily Log'!$D$2:$D$500,D15,'Daily Log'!$H$2:$H$500,"Trade estimate"),"")))</f>
        <v/>
      </c>
      <c r="F15" s="16" t="str">
        <f aca="false">IF(A15="","",IFERROR(AVERAGEIFS('Daily Log'!$E$2:$E$500,'Daily Log'!$B$2:$B$500,$A15,'Daily Log'!$F$2:$F$500,"Net India",'Daily Log'!$D$2:$D$500,1,'Daily Log'!$H$2:$H$500,"Producer-reported"),IFERROR(AVERAGEIFS('Daily Log'!$E$2:$E$500,'Daily Log'!$B$2:$B$500,$A15,'Daily Log'!$F$2:$F$500,"Net India",'Daily Log'!$D$2:$D$500,D15,'Daily Log'!$H$2:$H$500,"Producer-reported"),"")))</f>
        <v/>
      </c>
      <c r="G15" s="17" t="str">
        <f aca="false">IF(OR(E15="",F15=""),"",IF(E15=0,"",F15/E15-1))</f>
        <v/>
      </c>
      <c r="H15" s="16" t="str">
        <f aca="false">IF(OR(A15="",D15=""),"",IFERROR(AVERAGEIFS('Daily Log'!$E$2:$E$500,'Daily Log'!$B$2:$B$500,$A15,'Daily Log'!$F$2:$F$500,"Net India",'Daily Log'!$D$2:$D$500,D15,'Daily Log'!$H$2:$H$500,"Trade estimate"),""))</f>
        <v/>
      </c>
      <c r="I15" s="17" t="str">
        <f aca="false">IF(A15="","",IF(COUNTIFS('Daily Log'!$B$2:$B$500,$A15,'Daily Log'!$F$2:$F$500,"Net India",'Daily Log'!$H$2:$H$500,"Trade estimate",'Daily Log'!$J$2:$J$500,"&gt;=2")=0,"",AVERAGEIFS('Daily Log'!$M$2:$M$500,'Daily Log'!$B$2:$B$500,$A15,'Daily Log'!$F$2:$F$500,"Net India",'Daily Log'!$H$2:$H$500,"Trade estimate",'Daily Log'!$J$2:$J$500,"&gt;=2")))</f>
        <v/>
      </c>
      <c r="J15" s="17" t="str">
        <f aca="false">IF(I15="","",_xlfn.MAXIFS('Daily Log'!$M$2:$M$500,'Daily Log'!$B$2:$B$500,$A15,'Daily Log'!$F$2:$F$500,"Net India",'Daily Log'!$H$2:$H$500,"Trade estimate",'Daily Log'!$J$2:$J$500,"&gt;=2"))</f>
        <v/>
      </c>
      <c r="K15" s="18" t="str">
        <f aca="false">IF(A15="","",IF(I15="","Needs 2+ trade sources",IF(I15&lt;=Lists!$E$6,"Good",IF(I15&lt;=Lists!$E$2,"Moderate","Bad"))))</f>
        <v/>
      </c>
      <c r="L15" s="18" t="str">
        <f aca="false">IF(OR(A15="",G15=""),"",IF(ABS(G15)&lt;=Lists!$E$6,"Good (Aligned)",IF(ABS(G15)&lt;=Lists!$E$2,"Moderate Gap","Bad (Inflated)")))</f>
        <v/>
      </c>
    </row>
    <row r="16" customFormat="false" ht="14.25" hidden="false" customHeight="true" outlineLevel="0" collapsed="false">
      <c r="A16" s="14" t="str">
        <f aca="false">IF(Films!A16="","",Films!A16)</f>
        <v/>
      </c>
      <c r="B16" s="14" t="str">
        <f aca="false">IF(A16="","",Films!B16)</f>
        <v/>
      </c>
      <c r="C16" s="15" t="str">
        <f aca="false">IF(A16="","",Films!C16)</f>
        <v/>
      </c>
      <c r="D16" s="14" t="str">
        <f aca="false">IF(A16="","",IF(COUNTIFS('Daily Log'!$B$2:$B$500,A16)=0,"",_xlfn.MAXIFS('Daily Log'!$D$2:$D$500,'Daily Log'!$B$2:$B$500,A16)))</f>
        <v/>
      </c>
      <c r="E16" s="16" t="str">
        <f aca="false">IF(A16="","",IFERROR(AVERAGEIFS('Daily Log'!$E$2:$E$500,'Daily Log'!$B$2:$B$500,$A16,'Daily Log'!$F$2:$F$500,"Net India",'Daily Log'!$D$2:$D$500,1,'Daily Log'!$H$2:$H$500,"Trade estimate"),IFERROR(AVERAGEIFS('Daily Log'!$E$2:$E$500,'Daily Log'!$B$2:$B$500,$A16,'Daily Log'!$F$2:$F$500,"Net India",'Daily Log'!$D$2:$D$500,D16,'Daily Log'!$H$2:$H$500,"Trade estimate"),"")))</f>
        <v/>
      </c>
      <c r="F16" s="16" t="str">
        <f aca="false">IF(A16="","",IFERROR(AVERAGEIFS('Daily Log'!$E$2:$E$500,'Daily Log'!$B$2:$B$500,$A16,'Daily Log'!$F$2:$F$500,"Net India",'Daily Log'!$D$2:$D$500,1,'Daily Log'!$H$2:$H$500,"Producer-reported"),IFERROR(AVERAGEIFS('Daily Log'!$E$2:$E$500,'Daily Log'!$B$2:$B$500,$A16,'Daily Log'!$F$2:$F$500,"Net India",'Daily Log'!$D$2:$D$500,D16,'Daily Log'!$H$2:$H$500,"Producer-reported"),"")))</f>
        <v/>
      </c>
      <c r="G16" s="17" t="str">
        <f aca="false">IF(OR(E16="",F16=""),"",IF(E16=0,"",F16/E16-1))</f>
        <v/>
      </c>
      <c r="H16" s="16" t="str">
        <f aca="false">IF(OR(A16="",D16=""),"",IFERROR(AVERAGEIFS('Daily Log'!$E$2:$E$500,'Daily Log'!$B$2:$B$500,$A16,'Daily Log'!$F$2:$F$500,"Net India",'Daily Log'!$D$2:$D$500,D16,'Daily Log'!$H$2:$H$500,"Trade estimate"),""))</f>
        <v/>
      </c>
      <c r="I16" s="17" t="str">
        <f aca="false">IF(A16="","",IF(COUNTIFS('Daily Log'!$B$2:$B$500,$A16,'Daily Log'!$F$2:$F$500,"Net India",'Daily Log'!$H$2:$H$500,"Trade estimate",'Daily Log'!$J$2:$J$500,"&gt;=2")=0,"",AVERAGEIFS('Daily Log'!$M$2:$M$500,'Daily Log'!$B$2:$B$500,$A16,'Daily Log'!$F$2:$F$500,"Net India",'Daily Log'!$H$2:$H$500,"Trade estimate",'Daily Log'!$J$2:$J$500,"&gt;=2")))</f>
        <v/>
      </c>
      <c r="J16" s="17" t="str">
        <f aca="false">IF(I16="","",_xlfn.MAXIFS('Daily Log'!$M$2:$M$500,'Daily Log'!$B$2:$B$500,$A16,'Daily Log'!$F$2:$F$500,"Net India",'Daily Log'!$H$2:$H$500,"Trade estimate",'Daily Log'!$J$2:$J$500,"&gt;=2"))</f>
        <v/>
      </c>
      <c r="K16" s="18" t="str">
        <f aca="false">IF(A16="","",IF(I16="","Needs 2+ trade sources",IF(I16&lt;=Lists!$E$6,"Good",IF(I16&lt;=Lists!$E$2,"Moderate","Bad"))))</f>
        <v/>
      </c>
      <c r="L16" s="18" t="str">
        <f aca="false">IF(OR(A16="",G16=""),"",IF(ABS(G16)&lt;=Lists!$E$6,"Good (Aligned)",IF(ABS(G16)&lt;=Lists!$E$2,"Moderate Gap","Bad (Inflated)")))</f>
        <v/>
      </c>
    </row>
    <row r="17" customFormat="false" ht="14.25" hidden="false" customHeight="true" outlineLevel="0" collapsed="false">
      <c r="A17" s="14" t="str">
        <f aca="false">IF(Films!A17="","",Films!A17)</f>
        <v/>
      </c>
      <c r="B17" s="14" t="str">
        <f aca="false">IF(A17="","",Films!B17)</f>
        <v/>
      </c>
      <c r="C17" s="15" t="str">
        <f aca="false">IF(A17="","",Films!C17)</f>
        <v/>
      </c>
      <c r="D17" s="14" t="str">
        <f aca="false">IF(A17="","",IF(COUNTIFS('Daily Log'!$B$2:$B$500,A17)=0,"",_xlfn.MAXIFS('Daily Log'!$D$2:$D$500,'Daily Log'!$B$2:$B$500,A17)))</f>
        <v/>
      </c>
      <c r="E17" s="16" t="str">
        <f aca="false">IF(A17="","",IFERROR(AVERAGEIFS('Daily Log'!$E$2:$E$500,'Daily Log'!$B$2:$B$500,$A17,'Daily Log'!$F$2:$F$500,"Net India",'Daily Log'!$D$2:$D$500,1,'Daily Log'!$H$2:$H$500,"Trade estimate"),IFERROR(AVERAGEIFS('Daily Log'!$E$2:$E$500,'Daily Log'!$B$2:$B$500,$A17,'Daily Log'!$F$2:$F$500,"Net India",'Daily Log'!$D$2:$D$500,D17,'Daily Log'!$H$2:$H$500,"Trade estimate"),"")))</f>
        <v/>
      </c>
      <c r="F17" s="16" t="str">
        <f aca="false">IF(A17="","",IFERROR(AVERAGEIFS('Daily Log'!$E$2:$E$500,'Daily Log'!$B$2:$B$500,$A17,'Daily Log'!$F$2:$F$500,"Net India",'Daily Log'!$D$2:$D$500,1,'Daily Log'!$H$2:$H$500,"Producer-reported"),IFERROR(AVERAGEIFS('Daily Log'!$E$2:$E$500,'Daily Log'!$B$2:$B$500,$A17,'Daily Log'!$F$2:$F$500,"Net India",'Daily Log'!$D$2:$D$500,D17,'Daily Log'!$H$2:$H$500,"Producer-reported"),"")))</f>
        <v/>
      </c>
      <c r="G17" s="17" t="str">
        <f aca="false">IF(OR(E17="",F17=""),"",IF(E17=0,"",F17/E17-1))</f>
        <v/>
      </c>
      <c r="H17" s="16" t="str">
        <f aca="false">IF(OR(A17="",D17=""),"",IFERROR(AVERAGEIFS('Daily Log'!$E$2:$E$500,'Daily Log'!$B$2:$B$500,$A17,'Daily Log'!$F$2:$F$500,"Net India",'Daily Log'!$D$2:$D$500,D17,'Daily Log'!$H$2:$H$500,"Trade estimate"),""))</f>
        <v/>
      </c>
      <c r="I17" s="17" t="str">
        <f aca="false">IF(A17="","",IF(COUNTIFS('Daily Log'!$B$2:$B$500,$A17,'Daily Log'!$F$2:$F$500,"Net India",'Daily Log'!$H$2:$H$500,"Trade estimate",'Daily Log'!$J$2:$J$500,"&gt;=2")=0,"",AVERAGEIFS('Daily Log'!$M$2:$M$500,'Daily Log'!$B$2:$B$500,$A17,'Daily Log'!$F$2:$F$500,"Net India",'Daily Log'!$H$2:$H$500,"Trade estimate",'Daily Log'!$J$2:$J$500,"&gt;=2")))</f>
        <v/>
      </c>
      <c r="J17" s="17" t="str">
        <f aca="false">IF(I17="","",_xlfn.MAXIFS('Daily Log'!$M$2:$M$500,'Daily Log'!$B$2:$B$500,$A17,'Daily Log'!$F$2:$F$500,"Net India",'Daily Log'!$H$2:$H$500,"Trade estimate",'Daily Log'!$J$2:$J$500,"&gt;=2"))</f>
        <v/>
      </c>
      <c r="K17" s="18" t="str">
        <f aca="false">IF(A17="","",IF(I17="","Needs 2+ trade sources",IF(I17&lt;=Lists!$E$6,"Good",IF(I17&lt;=Lists!$E$2,"Moderate","Bad"))))</f>
        <v/>
      </c>
      <c r="L17" s="18" t="str">
        <f aca="false">IF(OR(A17="",G17=""),"",IF(ABS(G17)&lt;=Lists!$E$6,"Good (Aligned)",IF(ABS(G17)&lt;=Lists!$E$2,"Moderate Gap","Bad (Inflated)")))</f>
        <v/>
      </c>
    </row>
    <row r="18" customFormat="false" ht="14.25" hidden="false" customHeight="true" outlineLevel="0" collapsed="false">
      <c r="A18" s="14" t="str">
        <f aca="false">IF(Films!A18="","",Films!A18)</f>
        <v/>
      </c>
      <c r="B18" s="14" t="str">
        <f aca="false">IF(A18="","",Films!B18)</f>
        <v/>
      </c>
      <c r="C18" s="15" t="str">
        <f aca="false">IF(A18="","",Films!C18)</f>
        <v/>
      </c>
      <c r="D18" s="14" t="str">
        <f aca="false">IF(A18="","",IF(COUNTIFS('Daily Log'!$B$2:$B$500,A18)=0,"",_xlfn.MAXIFS('Daily Log'!$D$2:$D$500,'Daily Log'!$B$2:$B$500,A18)))</f>
        <v/>
      </c>
      <c r="E18" s="16" t="str">
        <f aca="false">IF(A18="","",IFERROR(AVERAGEIFS('Daily Log'!$E$2:$E$500,'Daily Log'!$B$2:$B$500,$A18,'Daily Log'!$F$2:$F$500,"Net India",'Daily Log'!$D$2:$D$500,1,'Daily Log'!$H$2:$H$500,"Trade estimate"),IFERROR(AVERAGEIFS('Daily Log'!$E$2:$E$500,'Daily Log'!$B$2:$B$500,$A18,'Daily Log'!$F$2:$F$500,"Net India",'Daily Log'!$D$2:$D$500,D18,'Daily Log'!$H$2:$H$500,"Trade estimate"),"")))</f>
        <v/>
      </c>
      <c r="F18" s="16" t="str">
        <f aca="false">IF(A18="","",IFERROR(AVERAGEIFS('Daily Log'!$E$2:$E$500,'Daily Log'!$B$2:$B$500,$A18,'Daily Log'!$F$2:$F$500,"Net India",'Daily Log'!$D$2:$D$500,1,'Daily Log'!$H$2:$H$500,"Producer-reported"),IFERROR(AVERAGEIFS('Daily Log'!$E$2:$E$500,'Daily Log'!$B$2:$B$500,$A18,'Daily Log'!$F$2:$F$500,"Net India",'Daily Log'!$D$2:$D$500,D18,'Daily Log'!$H$2:$H$500,"Producer-reported"),"")))</f>
        <v/>
      </c>
      <c r="G18" s="17" t="str">
        <f aca="false">IF(OR(E18="",F18=""),"",IF(E18=0,"",F18/E18-1))</f>
        <v/>
      </c>
      <c r="H18" s="16" t="str">
        <f aca="false">IF(OR(A18="",D18=""),"",IFERROR(AVERAGEIFS('Daily Log'!$E$2:$E$500,'Daily Log'!$B$2:$B$500,$A18,'Daily Log'!$F$2:$F$500,"Net India",'Daily Log'!$D$2:$D$500,D18,'Daily Log'!$H$2:$H$500,"Trade estimate"),""))</f>
        <v/>
      </c>
      <c r="I18" s="17" t="str">
        <f aca="false">IF(A18="","",IF(COUNTIFS('Daily Log'!$B$2:$B$500,$A18,'Daily Log'!$F$2:$F$500,"Net India",'Daily Log'!$H$2:$H$500,"Trade estimate",'Daily Log'!$J$2:$J$500,"&gt;=2")=0,"",AVERAGEIFS('Daily Log'!$M$2:$M$500,'Daily Log'!$B$2:$B$500,$A18,'Daily Log'!$F$2:$F$500,"Net India",'Daily Log'!$H$2:$H$500,"Trade estimate",'Daily Log'!$J$2:$J$500,"&gt;=2")))</f>
        <v/>
      </c>
      <c r="J18" s="17" t="str">
        <f aca="false">IF(I18="","",_xlfn.MAXIFS('Daily Log'!$M$2:$M$500,'Daily Log'!$B$2:$B$500,$A18,'Daily Log'!$F$2:$F$500,"Net India",'Daily Log'!$H$2:$H$500,"Trade estimate",'Daily Log'!$J$2:$J$500,"&gt;=2"))</f>
        <v/>
      </c>
      <c r="K18" s="18" t="str">
        <f aca="false">IF(A18="","",IF(I18="","Needs 2+ trade sources",IF(I18&lt;=Lists!$E$6,"Good",IF(I18&lt;=Lists!$E$2,"Moderate","Bad"))))</f>
        <v/>
      </c>
      <c r="L18" s="18" t="str">
        <f aca="false">IF(OR(A18="",G18=""),"",IF(ABS(G18)&lt;=Lists!$E$6,"Good (Aligned)",IF(ABS(G18)&lt;=Lists!$E$2,"Moderate Gap","Bad (Inflated)")))</f>
        <v/>
      </c>
    </row>
    <row r="19" customFormat="false" ht="14.25" hidden="false" customHeight="true" outlineLevel="0" collapsed="false">
      <c r="A19" s="14" t="str">
        <f aca="false">IF(Films!A19="","",Films!A19)</f>
        <v/>
      </c>
      <c r="B19" s="14" t="str">
        <f aca="false">IF(A19="","",Films!B19)</f>
        <v/>
      </c>
      <c r="C19" s="15" t="str">
        <f aca="false">IF(A19="","",Films!C19)</f>
        <v/>
      </c>
      <c r="D19" s="14" t="str">
        <f aca="false">IF(A19="","",IF(COUNTIFS('Daily Log'!$B$2:$B$500,A19)=0,"",_xlfn.MAXIFS('Daily Log'!$D$2:$D$500,'Daily Log'!$B$2:$B$500,A19)))</f>
        <v/>
      </c>
      <c r="E19" s="16" t="str">
        <f aca="false">IF(A19="","",IFERROR(AVERAGEIFS('Daily Log'!$E$2:$E$500,'Daily Log'!$B$2:$B$500,$A19,'Daily Log'!$F$2:$F$500,"Net India",'Daily Log'!$D$2:$D$500,1,'Daily Log'!$H$2:$H$500,"Trade estimate"),IFERROR(AVERAGEIFS('Daily Log'!$E$2:$E$500,'Daily Log'!$B$2:$B$500,$A19,'Daily Log'!$F$2:$F$500,"Net India",'Daily Log'!$D$2:$D$500,D19,'Daily Log'!$H$2:$H$500,"Trade estimate"),"")))</f>
        <v/>
      </c>
      <c r="F19" s="16" t="str">
        <f aca="false">IF(A19="","",IFERROR(AVERAGEIFS('Daily Log'!$E$2:$E$500,'Daily Log'!$B$2:$B$500,$A19,'Daily Log'!$F$2:$F$500,"Net India",'Daily Log'!$D$2:$D$500,1,'Daily Log'!$H$2:$H$500,"Producer-reported"),IFERROR(AVERAGEIFS('Daily Log'!$E$2:$E$500,'Daily Log'!$B$2:$B$500,$A19,'Daily Log'!$F$2:$F$500,"Net India",'Daily Log'!$D$2:$D$500,D19,'Daily Log'!$H$2:$H$500,"Producer-reported"),"")))</f>
        <v/>
      </c>
      <c r="G19" s="17" t="str">
        <f aca="false">IF(OR(E19="",F19=""),"",IF(E19=0,"",F19/E19-1))</f>
        <v/>
      </c>
      <c r="H19" s="16" t="str">
        <f aca="false">IF(OR(A19="",D19=""),"",IFERROR(AVERAGEIFS('Daily Log'!$E$2:$E$500,'Daily Log'!$B$2:$B$500,$A19,'Daily Log'!$F$2:$F$500,"Net India",'Daily Log'!$D$2:$D$500,D19,'Daily Log'!$H$2:$H$500,"Trade estimate"),""))</f>
        <v/>
      </c>
      <c r="I19" s="17" t="str">
        <f aca="false">IF(A19="","",IF(COUNTIFS('Daily Log'!$B$2:$B$500,$A19,'Daily Log'!$F$2:$F$500,"Net India",'Daily Log'!$H$2:$H$500,"Trade estimate",'Daily Log'!$J$2:$J$500,"&gt;=2")=0,"",AVERAGEIFS('Daily Log'!$M$2:$M$500,'Daily Log'!$B$2:$B$500,$A19,'Daily Log'!$F$2:$F$500,"Net India",'Daily Log'!$H$2:$H$500,"Trade estimate",'Daily Log'!$J$2:$J$500,"&gt;=2")))</f>
        <v/>
      </c>
      <c r="J19" s="17" t="str">
        <f aca="false">IF(I19="","",_xlfn.MAXIFS('Daily Log'!$M$2:$M$500,'Daily Log'!$B$2:$B$500,$A19,'Daily Log'!$F$2:$F$500,"Net India",'Daily Log'!$H$2:$H$500,"Trade estimate",'Daily Log'!$J$2:$J$500,"&gt;=2"))</f>
        <v/>
      </c>
      <c r="K19" s="18" t="str">
        <f aca="false">IF(A19="","",IF(I19="","Needs 2+ trade sources",IF(I19&lt;=Lists!$E$6,"Good",IF(I19&lt;=Lists!$E$2,"Moderate","Bad"))))</f>
        <v/>
      </c>
      <c r="L19" s="18" t="str">
        <f aca="false">IF(OR(A19="",G19=""),"",IF(ABS(G19)&lt;=Lists!$E$6,"Good (Aligned)",IF(ABS(G19)&lt;=Lists!$E$2,"Moderate Gap","Bad (Inflated)")))</f>
        <v/>
      </c>
    </row>
    <row r="20" customFormat="false" ht="14.25" hidden="false" customHeight="true" outlineLevel="0" collapsed="false">
      <c r="A20" s="14" t="str">
        <f aca="false">IF(Films!A20="","",Films!A20)</f>
        <v/>
      </c>
      <c r="B20" s="14" t="str">
        <f aca="false">IF(A20="","",Films!B20)</f>
        <v/>
      </c>
      <c r="C20" s="15" t="str">
        <f aca="false">IF(A20="","",Films!C20)</f>
        <v/>
      </c>
      <c r="D20" s="14" t="str">
        <f aca="false">IF(A20="","",IF(COUNTIFS('Daily Log'!$B$2:$B$500,A20)=0,"",_xlfn.MAXIFS('Daily Log'!$D$2:$D$500,'Daily Log'!$B$2:$B$500,A20)))</f>
        <v/>
      </c>
      <c r="E20" s="16" t="str">
        <f aca="false">IF(A20="","",IFERROR(AVERAGEIFS('Daily Log'!$E$2:$E$500,'Daily Log'!$B$2:$B$500,$A20,'Daily Log'!$F$2:$F$500,"Net India",'Daily Log'!$D$2:$D$500,1,'Daily Log'!$H$2:$H$500,"Trade estimate"),IFERROR(AVERAGEIFS('Daily Log'!$E$2:$E$500,'Daily Log'!$B$2:$B$500,$A20,'Daily Log'!$F$2:$F$500,"Net India",'Daily Log'!$D$2:$D$500,D20,'Daily Log'!$H$2:$H$500,"Trade estimate"),"")))</f>
        <v/>
      </c>
      <c r="F20" s="16" t="str">
        <f aca="false">IF(A20="","",IFERROR(AVERAGEIFS('Daily Log'!$E$2:$E$500,'Daily Log'!$B$2:$B$500,$A20,'Daily Log'!$F$2:$F$500,"Net India",'Daily Log'!$D$2:$D$500,1,'Daily Log'!$H$2:$H$500,"Producer-reported"),IFERROR(AVERAGEIFS('Daily Log'!$E$2:$E$500,'Daily Log'!$B$2:$B$500,$A20,'Daily Log'!$F$2:$F$500,"Net India",'Daily Log'!$D$2:$D$500,D20,'Daily Log'!$H$2:$H$500,"Producer-reported"),"")))</f>
        <v/>
      </c>
      <c r="G20" s="17" t="str">
        <f aca="false">IF(OR(E20="",F20=""),"",IF(E20=0,"",F20/E20-1))</f>
        <v/>
      </c>
      <c r="H20" s="16" t="str">
        <f aca="false">IF(OR(A20="",D20=""),"",IFERROR(AVERAGEIFS('Daily Log'!$E$2:$E$500,'Daily Log'!$B$2:$B$500,$A20,'Daily Log'!$F$2:$F$500,"Net India",'Daily Log'!$D$2:$D$500,D20,'Daily Log'!$H$2:$H$500,"Trade estimate"),""))</f>
        <v/>
      </c>
      <c r="I20" s="17" t="str">
        <f aca="false">IF(A20="","",IF(COUNTIFS('Daily Log'!$B$2:$B$500,$A20,'Daily Log'!$F$2:$F$500,"Net India",'Daily Log'!$H$2:$H$500,"Trade estimate",'Daily Log'!$J$2:$J$500,"&gt;=2")=0,"",AVERAGEIFS('Daily Log'!$M$2:$M$500,'Daily Log'!$B$2:$B$500,$A20,'Daily Log'!$F$2:$F$500,"Net India",'Daily Log'!$H$2:$H$500,"Trade estimate",'Daily Log'!$J$2:$J$500,"&gt;=2")))</f>
        <v/>
      </c>
      <c r="J20" s="17" t="str">
        <f aca="false">IF(I20="","",_xlfn.MAXIFS('Daily Log'!$M$2:$M$500,'Daily Log'!$B$2:$B$500,$A20,'Daily Log'!$F$2:$F$500,"Net India",'Daily Log'!$H$2:$H$500,"Trade estimate",'Daily Log'!$J$2:$J$500,"&gt;=2"))</f>
        <v/>
      </c>
      <c r="K20" s="18" t="str">
        <f aca="false">IF(A20="","",IF(I20="","Needs 2+ trade sources",IF(I20&lt;=Lists!$E$6,"Good",IF(I20&lt;=Lists!$E$2,"Moderate","Bad"))))</f>
        <v/>
      </c>
      <c r="L20" s="18" t="str">
        <f aca="false">IF(OR(A20="",G20=""),"",IF(ABS(G20)&lt;=Lists!$E$6,"Good (Aligned)",IF(ABS(G20)&lt;=Lists!$E$2,"Moderate Gap","Bad (Inflated)")))</f>
        <v/>
      </c>
    </row>
    <row r="21" customFormat="false" ht="14.25" hidden="false" customHeight="true" outlineLevel="0" collapsed="false">
      <c r="A21" s="14" t="str">
        <f aca="false">IF(Films!A21="","",Films!A21)</f>
        <v/>
      </c>
      <c r="B21" s="14" t="str">
        <f aca="false">IF(A21="","",Films!B21)</f>
        <v/>
      </c>
      <c r="C21" s="15" t="str">
        <f aca="false">IF(A21="","",Films!C21)</f>
        <v/>
      </c>
      <c r="D21" s="14" t="str">
        <f aca="false">IF(A21="","",IF(COUNTIFS('Daily Log'!$B$2:$B$500,A21)=0,"",_xlfn.MAXIFS('Daily Log'!$D$2:$D$500,'Daily Log'!$B$2:$B$500,A21)))</f>
        <v/>
      </c>
      <c r="E21" s="16" t="str">
        <f aca="false">IF(A21="","",IFERROR(AVERAGEIFS('Daily Log'!$E$2:$E$500,'Daily Log'!$B$2:$B$500,$A21,'Daily Log'!$F$2:$F$500,"Net India",'Daily Log'!$D$2:$D$500,1,'Daily Log'!$H$2:$H$500,"Trade estimate"),IFERROR(AVERAGEIFS('Daily Log'!$E$2:$E$500,'Daily Log'!$B$2:$B$500,$A21,'Daily Log'!$F$2:$F$500,"Net India",'Daily Log'!$D$2:$D$500,D21,'Daily Log'!$H$2:$H$500,"Trade estimate"),"")))</f>
        <v/>
      </c>
      <c r="F21" s="16" t="str">
        <f aca="false">IF(A21="","",IFERROR(AVERAGEIFS('Daily Log'!$E$2:$E$500,'Daily Log'!$B$2:$B$500,$A21,'Daily Log'!$F$2:$F$500,"Net India",'Daily Log'!$D$2:$D$500,1,'Daily Log'!$H$2:$H$500,"Producer-reported"),IFERROR(AVERAGEIFS('Daily Log'!$E$2:$E$500,'Daily Log'!$B$2:$B$500,$A21,'Daily Log'!$F$2:$F$500,"Net India",'Daily Log'!$D$2:$D$500,D21,'Daily Log'!$H$2:$H$500,"Producer-reported"),"")))</f>
        <v/>
      </c>
      <c r="G21" s="17" t="str">
        <f aca="false">IF(OR(E21="",F21=""),"",IF(E21=0,"",F21/E21-1))</f>
        <v/>
      </c>
      <c r="H21" s="16" t="str">
        <f aca="false">IF(OR(A21="",D21=""),"",IFERROR(AVERAGEIFS('Daily Log'!$E$2:$E$500,'Daily Log'!$B$2:$B$500,$A21,'Daily Log'!$F$2:$F$500,"Net India",'Daily Log'!$D$2:$D$500,D21,'Daily Log'!$H$2:$H$500,"Trade estimate"),""))</f>
        <v/>
      </c>
      <c r="I21" s="17" t="str">
        <f aca="false">IF(A21="","",IF(COUNTIFS('Daily Log'!$B$2:$B$500,$A21,'Daily Log'!$F$2:$F$500,"Net India",'Daily Log'!$H$2:$H$500,"Trade estimate",'Daily Log'!$J$2:$J$500,"&gt;=2")=0,"",AVERAGEIFS('Daily Log'!$M$2:$M$500,'Daily Log'!$B$2:$B$500,$A21,'Daily Log'!$F$2:$F$500,"Net India",'Daily Log'!$H$2:$H$500,"Trade estimate",'Daily Log'!$J$2:$J$500,"&gt;=2")))</f>
        <v/>
      </c>
      <c r="J21" s="17" t="str">
        <f aca="false">IF(I21="","",_xlfn.MAXIFS('Daily Log'!$M$2:$M$500,'Daily Log'!$B$2:$B$500,$A21,'Daily Log'!$F$2:$F$500,"Net India",'Daily Log'!$H$2:$H$500,"Trade estimate",'Daily Log'!$J$2:$J$500,"&gt;=2"))</f>
        <v/>
      </c>
      <c r="K21" s="18" t="str">
        <f aca="false">IF(A21="","",IF(I21="","Needs 2+ trade sources",IF(I21&lt;=Lists!$E$6,"Good",IF(I21&lt;=Lists!$E$2,"Moderate","Bad"))))</f>
        <v/>
      </c>
      <c r="L21" s="18" t="str">
        <f aca="false">IF(OR(A21="",G21=""),"",IF(ABS(G21)&lt;=Lists!$E$6,"Good (Aligned)",IF(ABS(G21)&lt;=Lists!$E$2,"Moderate Gap","Bad (Inflated)")))</f>
        <v/>
      </c>
    </row>
    <row r="22" customFormat="false" ht="14.25" hidden="false" customHeight="true" outlineLevel="0" collapsed="false">
      <c r="A22" s="14" t="str">
        <f aca="false">IF(Films!A22="","",Films!A22)</f>
        <v/>
      </c>
      <c r="B22" s="14" t="str">
        <f aca="false">IF(A22="","",Films!B22)</f>
        <v/>
      </c>
      <c r="C22" s="15" t="str">
        <f aca="false">IF(A22="","",Films!C22)</f>
        <v/>
      </c>
      <c r="D22" s="14" t="str">
        <f aca="false">IF(A22="","",IF(COUNTIFS('Daily Log'!$B$2:$B$500,A22)=0,"",_xlfn.MAXIFS('Daily Log'!$D$2:$D$500,'Daily Log'!$B$2:$B$500,A22)))</f>
        <v/>
      </c>
      <c r="E22" s="16" t="str">
        <f aca="false">IF(A22="","",IFERROR(AVERAGEIFS('Daily Log'!$E$2:$E$500,'Daily Log'!$B$2:$B$500,$A22,'Daily Log'!$F$2:$F$500,"Net India",'Daily Log'!$D$2:$D$500,1,'Daily Log'!$H$2:$H$500,"Trade estimate"),IFERROR(AVERAGEIFS('Daily Log'!$E$2:$E$500,'Daily Log'!$B$2:$B$500,$A22,'Daily Log'!$F$2:$F$500,"Net India",'Daily Log'!$D$2:$D$500,D22,'Daily Log'!$H$2:$H$500,"Trade estimate"),"")))</f>
        <v/>
      </c>
      <c r="F22" s="16" t="str">
        <f aca="false">IF(A22="","",IFERROR(AVERAGEIFS('Daily Log'!$E$2:$E$500,'Daily Log'!$B$2:$B$500,$A22,'Daily Log'!$F$2:$F$500,"Net India",'Daily Log'!$D$2:$D$500,1,'Daily Log'!$H$2:$H$500,"Producer-reported"),IFERROR(AVERAGEIFS('Daily Log'!$E$2:$E$500,'Daily Log'!$B$2:$B$500,$A22,'Daily Log'!$F$2:$F$500,"Net India",'Daily Log'!$D$2:$D$500,D22,'Daily Log'!$H$2:$H$500,"Producer-reported"),"")))</f>
        <v/>
      </c>
      <c r="G22" s="17" t="str">
        <f aca="false">IF(OR(E22="",F22=""),"",IF(E22=0,"",F22/E22-1))</f>
        <v/>
      </c>
      <c r="H22" s="16" t="str">
        <f aca="false">IF(OR(A22="",D22=""),"",IFERROR(AVERAGEIFS('Daily Log'!$E$2:$E$500,'Daily Log'!$B$2:$B$500,$A22,'Daily Log'!$F$2:$F$500,"Net India",'Daily Log'!$D$2:$D$500,D22,'Daily Log'!$H$2:$H$500,"Trade estimate"),""))</f>
        <v/>
      </c>
      <c r="I22" s="17" t="str">
        <f aca="false">IF(A22="","",IF(COUNTIFS('Daily Log'!$B$2:$B$500,$A22,'Daily Log'!$F$2:$F$500,"Net India",'Daily Log'!$H$2:$H$500,"Trade estimate",'Daily Log'!$J$2:$J$500,"&gt;=2")=0,"",AVERAGEIFS('Daily Log'!$M$2:$M$500,'Daily Log'!$B$2:$B$500,$A22,'Daily Log'!$F$2:$F$500,"Net India",'Daily Log'!$H$2:$H$500,"Trade estimate",'Daily Log'!$J$2:$J$500,"&gt;=2")))</f>
        <v/>
      </c>
      <c r="J22" s="17" t="str">
        <f aca="false">IF(I22="","",_xlfn.MAXIFS('Daily Log'!$M$2:$M$500,'Daily Log'!$B$2:$B$500,$A22,'Daily Log'!$F$2:$F$500,"Net India",'Daily Log'!$H$2:$H$500,"Trade estimate",'Daily Log'!$J$2:$J$500,"&gt;=2"))</f>
        <v/>
      </c>
      <c r="K22" s="18" t="str">
        <f aca="false">IF(A22="","",IF(I22="","Needs 2+ trade sources",IF(I22&lt;=Lists!$E$6,"Good",IF(I22&lt;=Lists!$E$2,"Moderate","Bad"))))</f>
        <v/>
      </c>
      <c r="L22" s="18" t="str">
        <f aca="false">IF(OR(A22="",G22=""),"",IF(ABS(G22)&lt;=Lists!$E$6,"Good (Aligned)",IF(ABS(G22)&lt;=Lists!$E$2,"Moderate Gap","Bad (Inflated)")))</f>
        <v/>
      </c>
    </row>
    <row r="23" customFormat="false" ht="14.25" hidden="false" customHeight="true" outlineLevel="0" collapsed="false">
      <c r="A23" s="14" t="str">
        <f aca="false">IF(Films!A23="","",Films!A23)</f>
        <v/>
      </c>
      <c r="B23" s="14" t="str">
        <f aca="false">IF(A23="","",Films!B23)</f>
        <v/>
      </c>
      <c r="C23" s="15" t="str">
        <f aca="false">IF(A23="","",Films!C23)</f>
        <v/>
      </c>
      <c r="D23" s="14" t="str">
        <f aca="false">IF(A23="","",IF(COUNTIFS('Daily Log'!$B$2:$B$500,A23)=0,"",_xlfn.MAXIFS('Daily Log'!$D$2:$D$500,'Daily Log'!$B$2:$B$500,A23)))</f>
        <v/>
      </c>
      <c r="E23" s="16" t="str">
        <f aca="false">IF(A23="","",IFERROR(AVERAGEIFS('Daily Log'!$E$2:$E$500,'Daily Log'!$B$2:$B$500,$A23,'Daily Log'!$F$2:$F$500,"Net India",'Daily Log'!$D$2:$D$500,1,'Daily Log'!$H$2:$H$500,"Trade estimate"),IFERROR(AVERAGEIFS('Daily Log'!$E$2:$E$500,'Daily Log'!$B$2:$B$500,$A23,'Daily Log'!$F$2:$F$500,"Net India",'Daily Log'!$D$2:$D$500,D23,'Daily Log'!$H$2:$H$500,"Trade estimate"),"")))</f>
        <v/>
      </c>
      <c r="F23" s="16" t="str">
        <f aca="false">IF(A23="","",IFERROR(AVERAGEIFS('Daily Log'!$E$2:$E$500,'Daily Log'!$B$2:$B$500,$A23,'Daily Log'!$F$2:$F$500,"Net India",'Daily Log'!$D$2:$D$500,1,'Daily Log'!$H$2:$H$500,"Producer-reported"),IFERROR(AVERAGEIFS('Daily Log'!$E$2:$E$500,'Daily Log'!$B$2:$B$500,$A23,'Daily Log'!$F$2:$F$500,"Net India",'Daily Log'!$D$2:$D$500,D23,'Daily Log'!$H$2:$H$500,"Producer-reported"),"")))</f>
        <v/>
      </c>
      <c r="G23" s="17" t="str">
        <f aca="false">IF(OR(E23="",F23=""),"",IF(E23=0,"",F23/E23-1))</f>
        <v/>
      </c>
      <c r="H23" s="16" t="str">
        <f aca="false">IF(OR(A23="",D23=""),"",IFERROR(AVERAGEIFS('Daily Log'!$E$2:$E$500,'Daily Log'!$B$2:$B$500,$A23,'Daily Log'!$F$2:$F$500,"Net India",'Daily Log'!$D$2:$D$500,D23,'Daily Log'!$H$2:$H$500,"Trade estimate"),""))</f>
        <v/>
      </c>
      <c r="I23" s="17" t="str">
        <f aca="false">IF(A23="","",IF(COUNTIFS('Daily Log'!$B$2:$B$500,$A23,'Daily Log'!$F$2:$F$500,"Net India",'Daily Log'!$H$2:$H$500,"Trade estimate",'Daily Log'!$J$2:$J$500,"&gt;=2")=0,"",AVERAGEIFS('Daily Log'!$M$2:$M$500,'Daily Log'!$B$2:$B$500,$A23,'Daily Log'!$F$2:$F$500,"Net India",'Daily Log'!$H$2:$H$500,"Trade estimate",'Daily Log'!$J$2:$J$500,"&gt;=2")))</f>
        <v/>
      </c>
      <c r="J23" s="17" t="str">
        <f aca="false">IF(I23="","",_xlfn.MAXIFS('Daily Log'!$M$2:$M$500,'Daily Log'!$B$2:$B$500,$A23,'Daily Log'!$F$2:$F$500,"Net India",'Daily Log'!$H$2:$H$500,"Trade estimate",'Daily Log'!$J$2:$J$500,"&gt;=2"))</f>
        <v/>
      </c>
      <c r="K23" s="18" t="str">
        <f aca="false">IF(A23="","",IF(I23="","Needs 2+ trade sources",IF(I23&lt;=Lists!$E$6,"Good",IF(I23&lt;=Lists!$E$2,"Moderate","Bad"))))</f>
        <v/>
      </c>
      <c r="L23" s="18" t="str">
        <f aca="false">IF(OR(A23="",G23=""),"",IF(ABS(G23)&lt;=Lists!$E$6,"Good (Aligned)",IF(ABS(G23)&lt;=Lists!$E$2,"Moderate Gap","Bad (Inflated)")))</f>
        <v/>
      </c>
    </row>
    <row r="24" customFormat="false" ht="14.25" hidden="false" customHeight="true" outlineLevel="0" collapsed="false">
      <c r="A24" s="14" t="str">
        <f aca="false">IF(Films!A24="","",Films!A24)</f>
        <v/>
      </c>
      <c r="B24" s="14" t="str">
        <f aca="false">IF(A24="","",Films!B24)</f>
        <v/>
      </c>
      <c r="C24" s="15" t="str">
        <f aca="false">IF(A24="","",Films!C24)</f>
        <v/>
      </c>
      <c r="D24" s="14" t="str">
        <f aca="false">IF(A24="","",IF(COUNTIFS('Daily Log'!$B$2:$B$500,A24)=0,"",_xlfn.MAXIFS('Daily Log'!$D$2:$D$500,'Daily Log'!$B$2:$B$500,A24)))</f>
        <v/>
      </c>
      <c r="E24" s="16" t="str">
        <f aca="false">IF(A24="","",IFERROR(AVERAGEIFS('Daily Log'!$E$2:$E$500,'Daily Log'!$B$2:$B$500,$A24,'Daily Log'!$F$2:$F$500,"Net India",'Daily Log'!$D$2:$D$500,1,'Daily Log'!$H$2:$H$500,"Trade estimate"),IFERROR(AVERAGEIFS('Daily Log'!$E$2:$E$500,'Daily Log'!$B$2:$B$500,$A24,'Daily Log'!$F$2:$F$500,"Net India",'Daily Log'!$D$2:$D$500,D24,'Daily Log'!$H$2:$H$500,"Trade estimate"),"")))</f>
        <v/>
      </c>
      <c r="F24" s="16" t="str">
        <f aca="false">IF(A24="","",IFERROR(AVERAGEIFS('Daily Log'!$E$2:$E$500,'Daily Log'!$B$2:$B$500,$A24,'Daily Log'!$F$2:$F$500,"Net India",'Daily Log'!$D$2:$D$500,1,'Daily Log'!$H$2:$H$500,"Producer-reported"),IFERROR(AVERAGEIFS('Daily Log'!$E$2:$E$500,'Daily Log'!$B$2:$B$500,$A24,'Daily Log'!$F$2:$F$500,"Net India",'Daily Log'!$D$2:$D$500,D24,'Daily Log'!$H$2:$H$500,"Producer-reported"),"")))</f>
        <v/>
      </c>
      <c r="G24" s="17" t="str">
        <f aca="false">IF(OR(E24="",F24=""),"",IF(E24=0,"",F24/E24-1))</f>
        <v/>
      </c>
      <c r="H24" s="16" t="str">
        <f aca="false">IF(OR(A24="",D24=""),"",IFERROR(AVERAGEIFS('Daily Log'!$E$2:$E$500,'Daily Log'!$B$2:$B$500,$A24,'Daily Log'!$F$2:$F$500,"Net India",'Daily Log'!$D$2:$D$500,D24,'Daily Log'!$H$2:$H$500,"Trade estimate"),""))</f>
        <v/>
      </c>
      <c r="I24" s="17" t="str">
        <f aca="false">IF(A24="","",IF(COUNTIFS('Daily Log'!$B$2:$B$500,$A24,'Daily Log'!$F$2:$F$500,"Net India",'Daily Log'!$H$2:$H$500,"Trade estimate",'Daily Log'!$J$2:$J$500,"&gt;=2")=0,"",AVERAGEIFS('Daily Log'!$M$2:$M$500,'Daily Log'!$B$2:$B$500,$A24,'Daily Log'!$F$2:$F$500,"Net India",'Daily Log'!$H$2:$H$500,"Trade estimate",'Daily Log'!$J$2:$J$500,"&gt;=2")))</f>
        <v/>
      </c>
      <c r="J24" s="17" t="str">
        <f aca="false">IF(I24="","",_xlfn.MAXIFS('Daily Log'!$M$2:$M$500,'Daily Log'!$B$2:$B$500,$A24,'Daily Log'!$F$2:$F$500,"Net India",'Daily Log'!$H$2:$H$500,"Trade estimate",'Daily Log'!$J$2:$J$500,"&gt;=2"))</f>
        <v/>
      </c>
      <c r="K24" s="18" t="str">
        <f aca="false">IF(A24="","",IF(I24="","Needs 2+ trade sources",IF(I24&lt;=Lists!$E$6,"Good",IF(I24&lt;=Lists!$E$2,"Moderate","Bad"))))</f>
        <v/>
      </c>
      <c r="L24" s="18" t="str">
        <f aca="false">IF(OR(A24="",G24=""),"",IF(ABS(G24)&lt;=Lists!$E$6,"Good (Aligned)",IF(ABS(G24)&lt;=Lists!$E$2,"Moderate Gap","Bad (Inflated)")))</f>
        <v/>
      </c>
    </row>
    <row r="25" customFormat="false" ht="14.25" hidden="false" customHeight="true" outlineLevel="0" collapsed="false">
      <c r="A25" s="14" t="str">
        <f aca="false">IF(Films!A25="","",Films!A25)</f>
        <v/>
      </c>
      <c r="B25" s="14" t="str">
        <f aca="false">IF(A25="","",Films!B25)</f>
        <v/>
      </c>
      <c r="C25" s="15" t="str">
        <f aca="false">IF(A25="","",Films!C25)</f>
        <v/>
      </c>
      <c r="D25" s="14" t="str">
        <f aca="false">IF(A25="","",IF(COUNTIFS('Daily Log'!$B$2:$B$500,A25)=0,"",_xlfn.MAXIFS('Daily Log'!$D$2:$D$500,'Daily Log'!$B$2:$B$500,A25)))</f>
        <v/>
      </c>
      <c r="E25" s="16" t="str">
        <f aca="false">IF(A25="","",IFERROR(AVERAGEIFS('Daily Log'!$E$2:$E$500,'Daily Log'!$B$2:$B$500,$A25,'Daily Log'!$F$2:$F$500,"Net India",'Daily Log'!$D$2:$D$500,1,'Daily Log'!$H$2:$H$500,"Trade estimate"),IFERROR(AVERAGEIFS('Daily Log'!$E$2:$E$500,'Daily Log'!$B$2:$B$500,$A25,'Daily Log'!$F$2:$F$500,"Net India",'Daily Log'!$D$2:$D$500,D25,'Daily Log'!$H$2:$H$500,"Trade estimate"),"")))</f>
        <v/>
      </c>
      <c r="F25" s="16" t="str">
        <f aca="false">IF(A25="","",IFERROR(AVERAGEIFS('Daily Log'!$E$2:$E$500,'Daily Log'!$B$2:$B$500,$A25,'Daily Log'!$F$2:$F$500,"Net India",'Daily Log'!$D$2:$D$500,1,'Daily Log'!$H$2:$H$500,"Producer-reported"),IFERROR(AVERAGEIFS('Daily Log'!$E$2:$E$500,'Daily Log'!$B$2:$B$500,$A25,'Daily Log'!$F$2:$F$500,"Net India",'Daily Log'!$D$2:$D$500,D25,'Daily Log'!$H$2:$H$500,"Producer-reported"),"")))</f>
        <v/>
      </c>
      <c r="G25" s="17" t="str">
        <f aca="false">IF(OR(E25="",F25=""),"",IF(E25=0,"",F25/E25-1))</f>
        <v/>
      </c>
      <c r="H25" s="16" t="str">
        <f aca="false">IF(OR(A25="",D25=""),"",IFERROR(AVERAGEIFS('Daily Log'!$E$2:$E$500,'Daily Log'!$B$2:$B$500,$A25,'Daily Log'!$F$2:$F$500,"Net India",'Daily Log'!$D$2:$D$500,D25,'Daily Log'!$H$2:$H$500,"Trade estimate"),""))</f>
        <v/>
      </c>
      <c r="I25" s="17" t="str">
        <f aca="false">IF(A25="","",IF(COUNTIFS('Daily Log'!$B$2:$B$500,$A25,'Daily Log'!$F$2:$F$500,"Net India",'Daily Log'!$H$2:$H$500,"Trade estimate",'Daily Log'!$J$2:$J$500,"&gt;=2")=0,"",AVERAGEIFS('Daily Log'!$M$2:$M$500,'Daily Log'!$B$2:$B$500,$A25,'Daily Log'!$F$2:$F$500,"Net India",'Daily Log'!$H$2:$H$500,"Trade estimate",'Daily Log'!$J$2:$J$500,"&gt;=2")))</f>
        <v/>
      </c>
      <c r="J25" s="17" t="str">
        <f aca="false">IF(I25="","",_xlfn.MAXIFS('Daily Log'!$M$2:$M$500,'Daily Log'!$B$2:$B$500,$A25,'Daily Log'!$F$2:$F$500,"Net India",'Daily Log'!$H$2:$H$500,"Trade estimate",'Daily Log'!$J$2:$J$500,"&gt;=2"))</f>
        <v/>
      </c>
      <c r="K25" s="18" t="str">
        <f aca="false">IF(A25="","",IF(I25="","Needs 2+ trade sources",IF(I25&lt;=Lists!$E$6,"Good",IF(I25&lt;=Lists!$E$2,"Moderate","Bad"))))</f>
        <v/>
      </c>
      <c r="L25" s="18" t="str">
        <f aca="false">IF(OR(A25="",G25=""),"",IF(ABS(G25)&lt;=Lists!$E$6,"Good (Aligned)",IF(ABS(G25)&lt;=Lists!$E$2,"Moderate Gap","Bad (Inflated)")))</f>
        <v/>
      </c>
    </row>
    <row r="26" customFormat="false" ht="14.25" hidden="false" customHeight="true" outlineLevel="0" collapsed="false">
      <c r="A26" s="14" t="str">
        <f aca="false">IF(Films!A26="","",Films!A26)</f>
        <v/>
      </c>
      <c r="B26" s="14" t="str">
        <f aca="false">IF(A26="","",Films!B26)</f>
        <v/>
      </c>
      <c r="C26" s="15" t="str">
        <f aca="false">IF(A26="","",Films!C26)</f>
        <v/>
      </c>
      <c r="D26" s="14" t="str">
        <f aca="false">IF(A26="","",IF(COUNTIFS('Daily Log'!$B$2:$B$500,A26)=0,"",_xlfn.MAXIFS('Daily Log'!$D$2:$D$500,'Daily Log'!$B$2:$B$500,A26)))</f>
        <v/>
      </c>
      <c r="E26" s="16" t="str">
        <f aca="false">IF(A26="","",IFERROR(AVERAGEIFS('Daily Log'!$E$2:$E$500,'Daily Log'!$B$2:$B$500,$A26,'Daily Log'!$F$2:$F$500,"Net India",'Daily Log'!$D$2:$D$500,1,'Daily Log'!$H$2:$H$500,"Trade estimate"),IFERROR(AVERAGEIFS('Daily Log'!$E$2:$E$500,'Daily Log'!$B$2:$B$500,$A26,'Daily Log'!$F$2:$F$500,"Net India",'Daily Log'!$D$2:$D$500,D26,'Daily Log'!$H$2:$H$500,"Trade estimate"),"")))</f>
        <v/>
      </c>
      <c r="F26" s="16" t="str">
        <f aca="false">IF(A26="","",IFERROR(AVERAGEIFS('Daily Log'!$E$2:$E$500,'Daily Log'!$B$2:$B$500,$A26,'Daily Log'!$F$2:$F$500,"Net India",'Daily Log'!$D$2:$D$500,1,'Daily Log'!$H$2:$H$500,"Producer-reported"),IFERROR(AVERAGEIFS('Daily Log'!$E$2:$E$500,'Daily Log'!$B$2:$B$500,$A26,'Daily Log'!$F$2:$F$500,"Net India",'Daily Log'!$D$2:$D$500,D26,'Daily Log'!$H$2:$H$500,"Producer-reported"),"")))</f>
        <v/>
      </c>
      <c r="G26" s="17" t="str">
        <f aca="false">IF(OR(E26="",F26=""),"",IF(E26=0,"",F26/E26-1))</f>
        <v/>
      </c>
      <c r="H26" s="16" t="str">
        <f aca="false">IF(OR(A26="",D26=""),"",IFERROR(AVERAGEIFS('Daily Log'!$E$2:$E$500,'Daily Log'!$B$2:$B$500,$A26,'Daily Log'!$F$2:$F$500,"Net India",'Daily Log'!$D$2:$D$500,D26,'Daily Log'!$H$2:$H$500,"Trade estimate"),""))</f>
        <v/>
      </c>
      <c r="I26" s="17" t="str">
        <f aca="false">IF(A26="","",IF(COUNTIFS('Daily Log'!$B$2:$B$500,$A26,'Daily Log'!$F$2:$F$500,"Net India",'Daily Log'!$H$2:$H$500,"Trade estimate",'Daily Log'!$J$2:$J$500,"&gt;=2")=0,"",AVERAGEIFS('Daily Log'!$M$2:$M$500,'Daily Log'!$B$2:$B$500,$A26,'Daily Log'!$F$2:$F$500,"Net India",'Daily Log'!$H$2:$H$500,"Trade estimate",'Daily Log'!$J$2:$J$500,"&gt;=2")))</f>
        <v/>
      </c>
      <c r="J26" s="17" t="str">
        <f aca="false">IF(I26="","",_xlfn.MAXIFS('Daily Log'!$M$2:$M$500,'Daily Log'!$B$2:$B$500,$A26,'Daily Log'!$F$2:$F$500,"Net India",'Daily Log'!$H$2:$H$500,"Trade estimate",'Daily Log'!$J$2:$J$500,"&gt;=2"))</f>
        <v/>
      </c>
      <c r="K26" s="18" t="str">
        <f aca="false">IF(A26="","",IF(I26="","Needs 2+ trade sources",IF(I26&lt;=Lists!$E$6,"Good",IF(I26&lt;=Lists!$E$2,"Moderate","Bad"))))</f>
        <v/>
      </c>
      <c r="L26" s="18" t="str">
        <f aca="false">IF(OR(A26="",G26=""),"",IF(ABS(G26)&lt;=Lists!$E$6,"Good (Aligned)",IF(ABS(G26)&lt;=Lists!$E$2,"Moderate Gap","Bad (Inflated)")))</f>
        <v/>
      </c>
    </row>
    <row r="27" customFormat="false" ht="14.25" hidden="false" customHeight="true" outlineLevel="0" collapsed="false">
      <c r="A27" s="14" t="str">
        <f aca="false">IF(Films!A27="","",Films!A27)</f>
        <v/>
      </c>
      <c r="B27" s="14" t="str">
        <f aca="false">IF(A27="","",Films!B27)</f>
        <v/>
      </c>
      <c r="C27" s="15" t="str">
        <f aca="false">IF(A27="","",Films!C27)</f>
        <v/>
      </c>
      <c r="D27" s="14" t="str">
        <f aca="false">IF(A27="","",IF(COUNTIFS('Daily Log'!$B$2:$B$500,A27)=0,"",_xlfn.MAXIFS('Daily Log'!$D$2:$D$500,'Daily Log'!$B$2:$B$500,A27)))</f>
        <v/>
      </c>
      <c r="E27" s="16" t="str">
        <f aca="false">IF(A27="","",IFERROR(AVERAGEIFS('Daily Log'!$E$2:$E$500,'Daily Log'!$B$2:$B$500,$A27,'Daily Log'!$F$2:$F$500,"Net India",'Daily Log'!$D$2:$D$500,1,'Daily Log'!$H$2:$H$500,"Trade estimate"),IFERROR(AVERAGEIFS('Daily Log'!$E$2:$E$500,'Daily Log'!$B$2:$B$500,$A27,'Daily Log'!$F$2:$F$500,"Net India",'Daily Log'!$D$2:$D$500,D27,'Daily Log'!$H$2:$H$500,"Trade estimate"),"")))</f>
        <v/>
      </c>
      <c r="F27" s="16" t="str">
        <f aca="false">IF(A27="","",IFERROR(AVERAGEIFS('Daily Log'!$E$2:$E$500,'Daily Log'!$B$2:$B$500,$A27,'Daily Log'!$F$2:$F$500,"Net India",'Daily Log'!$D$2:$D$500,1,'Daily Log'!$H$2:$H$500,"Producer-reported"),IFERROR(AVERAGEIFS('Daily Log'!$E$2:$E$500,'Daily Log'!$B$2:$B$500,$A27,'Daily Log'!$F$2:$F$500,"Net India",'Daily Log'!$D$2:$D$500,D27,'Daily Log'!$H$2:$H$500,"Producer-reported"),"")))</f>
        <v/>
      </c>
      <c r="G27" s="17" t="str">
        <f aca="false">IF(OR(E27="",F27=""),"",IF(E27=0,"",F27/E27-1))</f>
        <v/>
      </c>
      <c r="H27" s="16" t="str">
        <f aca="false">IF(OR(A27="",D27=""),"",IFERROR(AVERAGEIFS('Daily Log'!$E$2:$E$500,'Daily Log'!$B$2:$B$500,$A27,'Daily Log'!$F$2:$F$500,"Net India",'Daily Log'!$D$2:$D$500,D27,'Daily Log'!$H$2:$H$500,"Trade estimate"),""))</f>
        <v/>
      </c>
      <c r="I27" s="17" t="str">
        <f aca="false">IF(A27="","",IF(COUNTIFS('Daily Log'!$B$2:$B$500,$A27,'Daily Log'!$F$2:$F$500,"Net India",'Daily Log'!$H$2:$H$500,"Trade estimate",'Daily Log'!$J$2:$J$500,"&gt;=2")=0,"",AVERAGEIFS('Daily Log'!$M$2:$M$500,'Daily Log'!$B$2:$B$500,$A27,'Daily Log'!$F$2:$F$500,"Net India",'Daily Log'!$H$2:$H$500,"Trade estimate",'Daily Log'!$J$2:$J$500,"&gt;=2")))</f>
        <v/>
      </c>
      <c r="J27" s="17" t="str">
        <f aca="false">IF(I27="","",_xlfn.MAXIFS('Daily Log'!$M$2:$M$500,'Daily Log'!$B$2:$B$500,$A27,'Daily Log'!$F$2:$F$500,"Net India",'Daily Log'!$H$2:$H$500,"Trade estimate",'Daily Log'!$J$2:$J$500,"&gt;=2"))</f>
        <v/>
      </c>
      <c r="K27" s="18" t="str">
        <f aca="false">IF(A27="","",IF(I27="","Needs 2+ trade sources",IF(I27&lt;=Lists!$E$6,"Good",IF(I27&lt;=Lists!$E$2,"Moderate","Bad"))))</f>
        <v/>
      </c>
      <c r="L27" s="18" t="str">
        <f aca="false">IF(OR(A27="",G27=""),"",IF(ABS(G27)&lt;=Lists!$E$6,"Good (Aligned)",IF(ABS(G27)&lt;=Lists!$E$2,"Moderate Gap","Bad (Inflated)")))</f>
        <v/>
      </c>
    </row>
    <row r="28" customFormat="false" ht="14.25" hidden="false" customHeight="true" outlineLevel="0" collapsed="false">
      <c r="A28" s="14" t="str">
        <f aca="false">IF(Films!A28="","",Films!A28)</f>
        <v/>
      </c>
      <c r="B28" s="14" t="str">
        <f aca="false">IF(A28="","",Films!B28)</f>
        <v/>
      </c>
      <c r="C28" s="15" t="str">
        <f aca="false">IF(A28="","",Films!C28)</f>
        <v/>
      </c>
      <c r="D28" s="14" t="str">
        <f aca="false">IF(A28="","",IF(COUNTIFS('Daily Log'!$B$2:$B$500,A28)=0,"",_xlfn.MAXIFS('Daily Log'!$D$2:$D$500,'Daily Log'!$B$2:$B$500,A28)))</f>
        <v/>
      </c>
      <c r="E28" s="16" t="str">
        <f aca="false">IF(A28="","",IFERROR(AVERAGEIFS('Daily Log'!$E$2:$E$500,'Daily Log'!$B$2:$B$500,$A28,'Daily Log'!$F$2:$F$500,"Net India",'Daily Log'!$D$2:$D$500,1,'Daily Log'!$H$2:$H$500,"Trade estimate"),IFERROR(AVERAGEIFS('Daily Log'!$E$2:$E$500,'Daily Log'!$B$2:$B$500,$A28,'Daily Log'!$F$2:$F$500,"Net India",'Daily Log'!$D$2:$D$500,D28,'Daily Log'!$H$2:$H$500,"Trade estimate"),"")))</f>
        <v/>
      </c>
      <c r="F28" s="16" t="str">
        <f aca="false">IF(A28="","",IFERROR(AVERAGEIFS('Daily Log'!$E$2:$E$500,'Daily Log'!$B$2:$B$500,$A28,'Daily Log'!$F$2:$F$500,"Net India",'Daily Log'!$D$2:$D$500,1,'Daily Log'!$H$2:$H$500,"Producer-reported"),IFERROR(AVERAGEIFS('Daily Log'!$E$2:$E$500,'Daily Log'!$B$2:$B$500,$A28,'Daily Log'!$F$2:$F$500,"Net India",'Daily Log'!$D$2:$D$500,D28,'Daily Log'!$H$2:$H$500,"Producer-reported"),"")))</f>
        <v/>
      </c>
      <c r="G28" s="17" t="str">
        <f aca="false">IF(OR(E28="",F28=""),"",IF(E28=0,"",F28/E28-1))</f>
        <v/>
      </c>
      <c r="H28" s="16" t="str">
        <f aca="false">IF(OR(A28="",D28=""),"",IFERROR(AVERAGEIFS('Daily Log'!$E$2:$E$500,'Daily Log'!$B$2:$B$500,$A28,'Daily Log'!$F$2:$F$500,"Net India",'Daily Log'!$D$2:$D$500,D28,'Daily Log'!$H$2:$H$500,"Trade estimate"),""))</f>
        <v/>
      </c>
      <c r="I28" s="17" t="str">
        <f aca="false">IF(A28="","",IF(COUNTIFS('Daily Log'!$B$2:$B$500,$A28,'Daily Log'!$F$2:$F$500,"Net India",'Daily Log'!$H$2:$H$500,"Trade estimate",'Daily Log'!$J$2:$J$500,"&gt;=2")=0,"",AVERAGEIFS('Daily Log'!$M$2:$M$500,'Daily Log'!$B$2:$B$500,$A28,'Daily Log'!$F$2:$F$500,"Net India",'Daily Log'!$H$2:$H$500,"Trade estimate",'Daily Log'!$J$2:$J$500,"&gt;=2")))</f>
        <v/>
      </c>
      <c r="J28" s="17" t="str">
        <f aca="false">IF(I28="","",_xlfn.MAXIFS('Daily Log'!$M$2:$M$500,'Daily Log'!$B$2:$B$500,$A28,'Daily Log'!$F$2:$F$500,"Net India",'Daily Log'!$H$2:$H$500,"Trade estimate",'Daily Log'!$J$2:$J$500,"&gt;=2"))</f>
        <v/>
      </c>
      <c r="K28" s="18" t="str">
        <f aca="false">IF(A28="","",IF(I28="","Needs 2+ trade sources",IF(I28&lt;=Lists!$E$6,"Good",IF(I28&lt;=Lists!$E$2,"Moderate","Bad"))))</f>
        <v/>
      </c>
      <c r="L28" s="18" t="str">
        <f aca="false">IF(OR(A28="",G28=""),"",IF(ABS(G28)&lt;=Lists!$E$6,"Good (Aligned)",IF(ABS(G28)&lt;=Lists!$E$2,"Moderate Gap","Bad (Inflated)")))</f>
        <v/>
      </c>
    </row>
    <row r="29" customFormat="false" ht="14.25" hidden="false" customHeight="true" outlineLevel="0" collapsed="false">
      <c r="A29" s="14" t="str">
        <f aca="false">IF(Films!A29="","",Films!A29)</f>
        <v/>
      </c>
      <c r="B29" s="14" t="str">
        <f aca="false">IF(A29="","",Films!B29)</f>
        <v/>
      </c>
      <c r="C29" s="15" t="str">
        <f aca="false">IF(A29="","",Films!C29)</f>
        <v/>
      </c>
      <c r="D29" s="14" t="str">
        <f aca="false">IF(A29="","",IF(COUNTIFS('Daily Log'!$B$2:$B$500,A29)=0,"",_xlfn.MAXIFS('Daily Log'!$D$2:$D$500,'Daily Log'!$B$2:$B$500,A29)))</f>
        <v/>
      </c>
      <c r="E29" s="16" t="str">
        <f aca="false">IF(A29="","",IFERROR(AVERAGEIFS('Daily Log'!$E$2:$E$500,'Daily Log'!$B$2:$B$500,$A29,'Daily Log'!$F$2:$F$500,"Net India",'Daily Log'!$D$2:$D$500,1,'Daily Log'!$H$2:$H$500,"Trade estimate"),IFERROR(AVERAGEIFS('Daily Log'!$E$2:$E$500,'Daily Log'!$B$2:$B$500,$A29,'Daily Log'!$F$2:$F$500,"Net India",'Daily Log'!$D$2:$D$500,D29,'Daily Log'!$H$2:$H$500,"Trade estimate"),"")))</f>
        <v/>
      </c>
      <c r="F29" s="16" t="str">
        <f aca="false">IF(A29="","",IFERROR(AVERAGEIFS('Daily Log'!$E$2:$E$500,'Daily Log'!$B$2:$B$500,$A29,'Daily Log'!$F$2:$F$500,"Net India",'Daily Log'!$D$2:$D$500,1,'Daily Log'!$H$2:$H$500,"Producer-reported"),IFERROR(AVERAGEIFS('Daily Log'!$E$2:$E$500,'Daily Log'!$B$2:$B$500,$A29,'Daily Log'!$F$2:$F$500,"Net India",'Daily Log'!$D$2:$D$500,D29,'Daily Log'!$H$2:$H$500,"Producer-reported"),"")))</f>
        <v/>
      </c>
      <c r="G29" s="17" t="str">
        <f aca="false">IF(OR(E29="",F29=""),"",IF(E29=0,"",F29/E29-1))</f>
        <v/>
      </c>
      <c r="H29" s="16" t="str">
        <f aca="false">IF(OR(A29="",D29=""),"",IFERROR(AVERAGEIFS('Daily Log'!$E$2:$E$500,'Daily Log'!$B$2:$B$500,$A29,'Daily Log'!$F$2:$F$500,"Net India",'Daily Log'!$D$2:$D$500,D29,'Daily Log'!$H$2:$H$500,"Trade estimate"),""))</f>
        <v/>
      </c>
      <c r="I29" s="17" t="str">
        <f aca="false">IF(A29="","",IF(COUNTIFS('Daily Log'!$B$2:$B$500,$A29,'Daily Log'!$F$2:$F$500,"Net India",'Daily Log'!$H$2:$H$500,"Trade estimate",'Daily Log'!$J$2:$J$500,"&gt;=2")=0,"",AVERAGEIFS('Daily Log'!$M$2:$M$500,'Daily Log'!$B$2:$B$500,$A29,'Daily Log'!$F$2:$F$500,"Net India",'Daily Log'!$H$2:$H$500,"Trade estimate",'Daily Log'!$J$2:$J$500,"&gt;=2")))</f>
        <v/>
      </c>
      <c r="J29" s="17" t="str">
        <f aca="false">IF(I29="","",_xlfn.MAXIFS('Daily Log'!$M$2:$M$500,'Daily Log'!$B$2:$B$500,$A29,'Daily Log'!$F$2:$F$500,"Net India",'Daily Log'!$H$2:$H$500,"Trade estimate",'Daily Log'!$J$2:$J$500,"&gt;=2"))</f>
        <v/>
      </c>
      <c r="K29" s="18" t="str">
        <f aca="false">IF(A29="","",IF(I29="","Needs 2+ trade sources",IF(I29&lt;=Lists!$E$6,"Good",IF(I29&lt;=Lists!$E$2,"Moderate","Bad"))))</f>
        <v/>
      </c>
      <c r="L29" s="18" t="str">
        <f aca="false">IF(OR(A29="",G29=""),"",IF(ABS(G29)&lt;=Lists!$E$6,"Good (Aligned)",IF(ABS(G29)&lt;=Lists!$E$2,"Moderate Gap","Bad (Inflated)")))</f>
        <v/>
      </c>
    </row>
    <row r="30" customFormat="false" ht="14.25" hidden="false" customHeight="true" outlineLevel="0" collapsed="false">
      <c r="A30" s="14" t="str">
        <f aca="false">IF(Films!A30="","",Films!A30)</f>
        <v/>
      </c>
      <c r="B30" s="14" t="str">
        <f aca="false">IF(A30="","",Films!B30)</f>
        <v/>
      </c>
      <c r="C30" s="15" t="str">
        <f aca="false">IF(A30="","",Films!C30)</f>
        <v/>
      </c>
      <c r="D30" s="14" t="str">
        <f aca="false">IF(A30="","",IF(COUNTIFS('Daily Log'!$B$2:$B$500,A30)=0,"",_xlfn.MAXIFS('Daily Log'!$D$2:$D$500,'Daily Log'!$B$2:$B$500,A30)))</f>
        <v/>
      </c>
      <c r="E30" s="16" t="str">
        <f aca="false">IF(A30="","",IFERROR(AVERAGEIFS('Daily Log'!$E$2:$E$500,'Daily Log'!$B$2:$B$500,$A30,'Daily Log'!$F$2:$F$500,"Net India",'Daily Log'!$D$2:$D$500,1,'Daily Log'!$H$2:$H$500,"Trade estimate"),IFERROR(AVERAGEIFS('Daily Log'!$E$2:$E$500,'Daily Log'!$B$2:$B$500,$A30,'Daily Log'!$F$2:$F$500,"Net India",'Daily Log'!$D$2:$D$500,D30,'Daily Log'!$H$2:$H$500,"Trade estimate"),"")))</f>
        <v/>
      </c>
      <c r="F30" s="16" t="str">
        <f aca="false">IF(A30="","",IFERROR(AVERAGEIFS('Daily Log'!$E$2:$E$500,'Daily Log'!$B$2:$B$500,$A30,'Daily Log'!$F$2:$F$500,"Net India",'Daily Log'!$D$2:$D$500,1,'Daily Log'!$H$2:$H$500,"Producer-reported"),IFERROR(AVERAGEIFS('Daily Log'!$E$2:$E$500,'Daily Log'!$B$2:$B$500,$A30,'Daily Log'!$F$2:$F$500,"Net India",'Daily Log'!$D$2:$D$500,D30,'Daily Log'!$H$2:$H$500,"Producer-reported"),"")))</f>
        <v/>
      </c>
      <c r="G30" s="17" t="str">
        <f aca="false">IF(OR(E30="",F30=""),"",IF(E30=0,"",F30/E30-1))</f>
        <v/>
      </c>
      <c r="H30" s="16" t="str">
        <f aca="false">IF(OR(A30="",D30=""),"",IFERROR(AVERAGEIFS('Daily Log'!$E$2:$E$500,'Daily Log'!$B$2:$B$500,$A30,'Daily Log'!$F$2:$F$500,"Net India",'Daily Log'!$D$2:$D$500,D30,'Daily Log'!$H$2:$H$500,"Trade estimate"),""))</f>
        <v/>
      </c>
      <c r="I30" s="17" t="str">
        <f aca="false">IF(A30="","",IF(COUNTIFS('Daily Log'!$B$2:$B$500,$A30,'Daily Log'!$F$2:$F$500,"Net India",'Daily Log'!$H$2:$H$500,"Trade estimate",'Daily Log'!$J$2:$J$500,"&gt;=2")=0,"",AVERAGEIFS('Daily Log'!$M$2:$M$500,'Daily Log'!$B$2:$B$500,$A30,'Daily Log'!$F$2:$F$500,"Net India",'Daily Log'!$H$2:$H$500,"Trade estimate",'Daily Log'!$J$2:$J$500,"&gt;=2")))</f>
        <v/>
      </c>
      <c r="J30" s="17" t="str">
        <f aca="false">IF(I30="","",_xlfn.MAXIFS('Daily Log'!$M$2:$M$500,'Daily Log'!$B$2:$B$500,$A30,'Daily Log'!$F$2:$F$500,"Net India",'Daily Log'!$H$2:$H$500,"Trade estimate",'Daily Log'!$J$2:$J$500,"&gt;=2"))</f>
        <v/>
      </c>
      <c r="K30" s="18" t="str">
        <f aca="false">IF(A30="","",IF(I30="","Needs 2+ trade sources",IF(I30&lt;=Lists!$E$6,"Good",IF(I30&lt;=Lists!$E$2,"Moderate","Bad"))))</f>
        <v/>
      </c>
      <c r="L30" s="18" t="str">
        <f aca="false">IF(OR(A30="",G30=""),"",IF(ABS(G30)&lt;=Lists!$E$6,"Good (Aligned)",IF(ABS(G30)&lt;=Lists!$E$2,"Moderate Gap","Bad (Inflated)")))</f>
        <v/>
      </c>
    </row>
    <row r="31" customFormat="false" ht="14.25" hidden="false" customHeight="true" outlineLevel="0" collapsed="false">
      <c r="A31" s="14" t="str">
        <f aca="false">IF(Films!A31="","",Films!A31)</f>
        <v/>
      </c>
      <c r="B31" s="14" t="str">
        <f aca="false">IF(A31="","",Films!B31)</f>
        <v/>
      </c>
      <c r="C31" s="15" t="str">
        <f aca="false">IF(A31="","",Films!C31)</f>
        <v/>
      </c>
      <c r="D31" s="14" t="str">
        <f aca="false">IF(A31="","",IF(COUNTIFS('Daily Log'!$B$2:$B$500,A31)=0,"",_xlfn.MAXIFS('Daily Log'!$D$2:$D$500,'Daily Log'!$B$2:$B$500,A31)))</f>
        <v/>
      </c>
      <c r="E31" s="16" t="str">
        <f aca="false">IF(A31="","",IFERROR(AVERAGEIFS('Daily Log'!$E$2:$E$500,'Daily Log'!$B$2:$B$500,$A31,'Daily Log'!$F$2:$F$500,"Net India",'Daily Log'!$D$2:$D$500,1,'Daily Log'!$H$2:$H$500,"Trade estimate"),IFERROR(AVERAGEIFS('Daily Log'!$E$2:$E$500,'Daily Log'!$B$2:$B$500,$A31,'Daily Log'!$F$2:$F$500,"Net India",'Daily Log'!$D$2:$D$500,D31,'Daily Log'!$H$2:$H$500,"Trade estimate"),"")))</f>
        <v/>
      </c>
      <c r="F31" s="16" t="str">
        <f aca="false">IF(A31="","",IFERROR(AVERAGEIFS('Daily Log'!$E$2:$E$500,'Daily Log'!$B$2:$B$500,$A31,'Daily Log'!$F$2:$F$500,"Net India",'Daily Log'!$D$2:$D$500,1,'Daily Log'!$H$2:$H$500,"Producer-reported"),IFERROR(AVERAGEIFS('Daily Log'!$E$2:$E$500,'Daily Log'!$B$2:$B$500,$A31,'Daily Log'!$F$2:$F$500,"Net India",'Daily Log'!$D$2:$D$500,D31,'Daily Log'!$H$2:$H$500,"Producer-reported"),"")))</f>
        <v/>
      </c>
      <c r="G31" s="17" t="str">
        <f aca="false">IF(OR(E31="",F31=""),"",IF(E31=0,"",F31/E31-1))</f>
        <v/>
      </c>
      <c r="H31" s="16" t="str">
        <f aca="false">IF(OR(A31="",D31=""),"",IFERROR(AVERAGEIFS('Daily Log'!$E$2:$E$500,'Daily Log'!$B$2:$B$500,$A31,'Daily Log'!$F$2:$F$500,"Net India",'Daily Log'!$D$2:$D$500,D31,'Daily Log'!$H$2:$H$500,"Trade estimate"),""))</f>
        <v/>
      </c>
      <c r="I31" s="17" t="str">
        <f aca="false">IF(A31="","",IF(COUNTIFS('Daily Log'!$B$2:$B$500,$A31,'Daily Log'!$F$2:$F$500,"Net India",'Daily Log'!$H$2:$H$500,"Trade estimate",'Daily Log'!$J$2:$J$500,"&gt;=2")=0,"",AVERAGEIFS('Daily Log'!$M$2:$M$500,'Daily Log'!$B$2:$B$500,$A31,'Daily Log'!$F$2:$F$500,"Net India",'Daily Log'!$H$2:$H$500,"Trade estimate",'Daily Log'!$J$2:$J$500,"&gt;=2")))</f>
        <v/>
      </c>
      <c r="J31" s="17" t="str">
        <f aca="false">IF(I31="","",_xlfn.MAXIFS('Daily Log'!$M$2:$M$500,'Daily Log'!$B$2:$B$500,$A31,'Daily Log'!$F$2:$F$500,"Net India",'Daily Log'!$H$2:$H$500,"Trade estimate",'Daily Log'!$J$2:$J$500,"&gt;=2"))</f>
        <v/>
      </c>
      <c r="K31" s="18" t="str">
        <f aca="false">IF(A31="","",IF(I31="","Needs 2+ trade sources",IF(I31&lt;=Lists!$E$6,"Good",IF(I31&lt;=Lists!$E$2,"Moderate","Bad"))))</f>
        <v/>
      </c>
      <c r="L31" s="18" t="str">
        <f aca="false">IF(OR(A31="",G31=""),"",IF(ABS(G31)&lt;=Lists!$E$6,"Good (Aligned)",IF(ABS(G31)&lt;=Lists!$E$2,"Moderate Gap","Bad (Inflated)")))</f>
        <v/>
      </c>
    </row>
    <row r="32" customFormat="false" ht="14.25" hidden="false" customHeight="true" outlineLevel="0" collapsed="false">
      <c r="A32" s="14" t="str">
        <f aca="false">IF(Films!A32="","",Films!A32)</f>
        <v/>
      </c>
      <c r="B32" s="14" t="str">
        <f aca="false">IF(A32="","",Films!B32)</f>
        <v/>
      </c>
      <c r="C32" s="15" t="str">
        <f aca="false">IF(A32="","",Films!C32)</f>
        <v/>
      </c>
      <c r="D32" s="14" t="str">
        <f aca="false">IF(A32="","",IF(COUNTIFS('Daily Log'!$B$2:$B$500,A32)=0,"",_xlfn.MAXIFS('Daily Log'!$D$2:$D$500,'Daily Log'!$B$2:$B$500,A32)))</f>
        <v/>
      </c>
      <c r="E32" s="16" t="str">
        <f aca="false">IF(A32="","",IFERROR(AVERAGEIFS('Daily Log'!$E$2:$E$500,'Daily Log'!$B$2:$B$500,$A32,'Daily Log'!$F$2:$F$500,"Net India",'Daily Log'!$D$2:$D$500,1,'Daily Log'!$H$2:$H$500,"Trade estimate"),IFERROR(AVERAGEIFS('Daily Log'!$E$2:$E$500,'Daily Log'!$B$2:$B$500,$A32,'Daily Log'!$F$2:$F$500,"Net India",'Daily Log'!$D$2:$D$500,D32,'Daily Log'!$H$2:$H$500,"Trade estimate"),"")))</f>
        <v/>
      </c>
      <c r="F32" s="16" t="str">
        <f aca="false">IF(A32="","",IFERROR(AVERAGEIFS('Daily Log'!$E$2:$E$500,'Daily Log'!$B$2:$B$500,$A32,'Daily Log'!$F$2:$F$500,"Net India",'Daily Log'!$D$2:$D$500,1,'Daily Log'!$H$2:$H$500,"Producer-reported"),IFERROR(AVERAGEIFS('Daily Log'!$E$2:$E$500,'Daily Log'!$B$2:$B$500,$A32,'Daily Log'!$F$2:$F$500,"Net India",'Daily Log'!$D$2:$D$500,D32,'Daily Log'!$H$2:$H$500,"Producer-reported"),"")))</f>
        <v/>
      </c>
      <c r="G32" s="17" t="str">
        <f aca="false">IF(OR(E32="",F32=""),"",IF(E32=0,"",F32/E32-1))</f>
        <v/>
      </c>
      <c r="H32" s="16" t="str">
        <f aca="false">IF(OR(A32="",D32=""),"",IFERROR(AVERAGEIFS('Daily Log'!$E$2:$E$500,'Daily Log'!$B$2:$B$500,$A32,'Daily Log'!$F$2:$F$500,"Net India",'Daily Log'!$D$2:$D$500,D32,'Daily Log'!$H$2:$H$500,"Trade estimate"),""))</f>
        <v/>
      </c>
      <c r="I32" s="17" t="str">
        <f aca="false">IF(A32="","",IF(COUNTIFS('Daily Log'!$B$2:$B$500,$A32,'Daily Log'!$F$2:$F$500,"Net India",'Daily Log'!$H$2:$H$500,"Trade estimate",'Daily Log'!$J$2:$J$500,"&gt;=2")=0,"",AVERAGEIFS('Daily Log'!$M$2:$M$500,'Daily Log'!$B$2:$B$500,$A32,'Daily Log'!$F$2:$F$500,"Net India",'Daily Log'!$H$2:$H$500,"Trade estimate",'Daily Log'!$J$2:$J$500,"&gt;=2")))</f>
        <v/>
      </c>
      <c r="J32" s="17" t="str">
        <f aca="false">IF(I32="","",_xlfn.MAXIFS('Daily Log'!$M$2:$M$500,'Daily Log'!$B$2:$B$500,$A32,'Daily Log'!$F$2:$F$500,"Net India",'Daily Log'!$H$2:$H$500,"Trade estimate",'Daily Log'!$J$2:$J$500,"&gt;=2"))</f>
        <v/>
      </c>
      <c r="K32" s="18" t="str">
        <f aca="false">IF(A32="","",IF(I32="","Needs 2+ trade sources",IF(I32&lt;=Lists!$E$6,"Good",IF(I32&lt;=Lists!$E$2,"Moderate","Bad"))))</f>
        <v/>
      </c>
      <c r="L32" s="18" t="str">
        <f aca="false">IF(OR(A32="",G32=""),"",IF(ABS(G32)&lt;=Lists!$E$6,"Good (Aligned)",IF(ABS(G32)&lt;=Lists!$E$2,"Moderate Gap","Bad (Inflated)")))</f>
        <v/>
      </c>
    </row>
    <row r="33" customFormat="false" ht="14.25" hidden="false" customHeight="true" outlineLevel="0" collapsed="false">
      <c r="A33" s="14" t="str">
        <f aca="false">IF(Films!A33="","",Films!A33)</f>
        <v/>
      </c>
      <c r="B33" s="14" t="str">
        <f aca="false">IF(A33="","",Films!B33)</f>
        <v/>
      </c>
      <c r="C33" s="15" t="str">
        <f aca="false">IF(A33="","",Films!C33)</f>
        <v/>
      </c>
      <c r="D33" s="14" t="str">
        <f aca="false">IF(A33="","",IF(COUNTIFS('Daily Log'!$B$2:$B$500,A33)=0,"",_xlfn.MAXIFS('Daily Log'!$D$2:$D$500,'Daily Log'!$B$2:$B$500,A33)))</f>
        <v/>
      </c>
      <c r="E33" s="16" t="str">
        <f aca="false">IF(A33="","",IFERROR(AVERAGEIFS('Daily Log'!$E$2:$E$500,'Daily Log'!$B$2:$B$500,$A33,'Daily Log'!$F$2:$F$500,"Net India",'Daily Log'!$D$2:$D$500,1,'Daily Log'!$H$2:$H$500,"Trade estimate"),IFERROR(AVERAGEIFS('Daily Log'!$E$2:$E$500,'Daily Log'!$B$2:$B$500,$A33,'Daily Log'!$F$2:$F$500,"Net India",'Daily Log'!$D$2:$D$500,D33,'Daily Log'!$H$2:$H$500,"Trade estimate"),"")))</f>
        <v/>
      </c>
      <c r="F33" s="16" t="str">
        <f aca="false">IF(A33="","",IFERROR(AVERAGEIFS('Daily Log'!$E$2:$E$500,'Daily Log'!$B$2:$B$500,$A33,'Daily Log'!$F$2:$F$500,"Net India",'Daily Log'!$D$2:$D$500,1,'Daily Log'!$H$2:$H$500,"Producer-reported"),IFERROR(AVERAGEIFS('Daily Log'!$E$2:$E$500,'Daily Log'!$B$2:$B$500,$A33,'Daily Log'!$F$2:$F$500,"Net India",'Daily Log'!$D$2:$D$500,D33,'Daily Log'!$H$2:$H$500,"Producer-reported"),"")))</f>
        <v/>
      </c>
      <c r="G33" s="17" t="str">
        <f aca="false">IF(OR(E33="",F33=""),"",IF(E33=0,"",F33/E33-1))</f>
        <v/>
      </c>
      <c r="H33" s="16" t="str">
        <f aca="false">IF(OR(A33="",D33=""),"",IFERROR(AVERAGEIFS('Daily Log'!$E$2:$E$500,'Daily Log'!$B$2:$B$500,$A33,'Daily Log'!$F$2:$F$500,"Net India",'Daily Log'!$D$2:$D$500,D33,'Daily Log'!$H$2:$H$500,"Trade estimate"),""))</f>
        <v/>
      </c>
      <c r="I33" s="17" t="str">
        <f aca="false">IF(A33="","",IF(COUNTIFS('Daily Log'!$B$2:$B$500,$A33,'Daily Log'!$F$2:$F$500,"Net India",'Daily Log'!$H$2:$H$500,"Trade estimate",'Daily Log'!$J$2:$J$500,"&gt;=2")=0,"",AVERAGEIFS('Daily Log'!$M$2:$M$500,'Daily Log'!$B$2:$B$500,$A33,'Daily Log'!$F$2:$F$500,"Net India",'Daily Log'!$H$2:$H$500,"Trade estimate",'Daily Log'!$J$2:$J$500,"&gt;=2")))</f>
        <v/>
      </c>
      <c r="J33" s="17" t="str">
        <f aca="false">IF(I33="","",_xlfn.MAXIFS('Daily Log'!$M$2:$M$500,'Daily Log'!$B$2:$B$500,$A33,'Daily Log'!$F$2:$F$500,"Net India",'Daily Log'!$H$2:$H$500,"Trade estimate",'Daily Log'!$J$2:$J$500,"&gt;=2"))</f>
        <v/>
      </c>
      <c r="K33" s="18" t="str">
        <f aca="false">IF(A33="","",IF(I33="","Needs 2+ trade sources",IF(I33&lt;=Lists!$E$6,"Good",IF(I33&lt;=Lists!$E$2,"Moderate","Bad"))))</f>
        <v/>
      </c>
      <c r="L33" s="18" t="str">
        <f aca="false">IF(OR(A33="",G33=""),"",IF(ABS(G33)&lt;=Lists!$E$6,"Good (Aligned)",IF(ABS(G33)&lt;=Lists!$E$2,"Moderate Gap","Bad (Inflated)")))</f>
        <v/>
      </c>
    </row>
    <row r="34" customFormat="false" ht="14.25" hidden="false" customHeight="true" outlineLevel="0" collapsed="false">
      <c r="A34" s="14" t="str">
        <f aca="false">IF(Films!A34="","",Films!A34)</f>
        <v/>
      </c>
      <c r="B34" s="14" t="str">
        <f aca="false">IF(A34="","",Films!B34)</f>
        <v/>
      </c>
      <c r="C34" s="15" t="str">
        <f aca="false">IF(A34="","",Films!C34)</f>
        <v/>
      </c>
      <c r="D34" s="14" t="str">
        <f aca="false">IF(A34="","",IF(COUNTIFS('Daily Log'!$B$2:$B$500,A34)=0,"",_xlfn.MAXIFS('Daily Log'!$D$2:$D$500,'Daily Log'!$B$2:$B$500,A34)))</f>
        <v/>
      </c>
      <c r="E34" s="16" t="str">
        <f aca="false">IF(A34="","",IFERROR(AVERAGEIFS('Daily Log'!$E$2:$E$500,'Daily Log'!$B$2:$B$500,$A34,'Daily Log'!$F$2:$F$500,"Net India",'Daily Log'!$D$2:$D$500,1,'Daily Log'!$H$2:$H$500,"Trade estimate"),IFERROR(AVERAGEIFS('Daily Log'!$E$2:$E$500,'Daily Log'!$B$2:$B$500,$A34,'Daily Log'!$F$2:$F$500,"Net India",'Daily Log'!$D$2:$D$500,D34,'Daily Log'!$H$2:$H$500,"Trade estimate"),"")))</f>
        <v/>
      </c>
      <c r="F34" s="16" t="str">
        <f aca="false">IF(A34="","",IFERROR(AVERAGEIFS('Daily Log'!$E$2:$E$500,'Daily Log'!$B$2:$B$500,$A34,'Daily Log'!$F$2:$F$500,"Net India",'Daily Log'!$D$2:$D$500,1,'Daily Log'!$H$2:$H$500,"Producer-reported"),IFERROR(AVERAGEIFS('Daily Log'!$E$2:$E$500,'Daily Log'!$B$2:$B$500,$A34,'Daily Log'!$F$2:$F$500,"Net India",'Daily Log'!$D$2:$D$500,D34,'Daily Log'!$H$2:$H$500,"Producer-reported"),"")))</f>
        <v/>
      </c>
      <c r="G34" s="17" t="str">
        <f aca="false">IF(OR(E34="",F34=""),"",IF(E34=0,"",F34/E34-1))</f>
        <v/>
      </c>
      <c r="H34" s="16" t="str">
        <f aca="false">IF(OR(A34="",D34=""),"",IFERROR(AVERAGEIFS('Daily Log'!$E$2:$E$500,'Daily Log'!$B$2:$B$500,$A34,'Daily Log'!$F$2:$F$500,"Net India",'Daily Log'!$D$2:$D$500,D34,'Daily Log'!$H$2:$H$500,"Trade estimate"),""))</f>
        <v/>
      </c>
      <c r="I34" s="17" t="str">
        <f aca="false">IF(A34="","",IF(COUNTIFS('Daily Log'!$B$2:$B$500,$A34,'Daily Log'!$F$2:$F$500,"Net India",'Daily Log'!$H$2:$H$500,"Trade estimate",'Daily Log'!$J$2:$J$500,"&gt;=2")=0,"",AVERAGEIFS('Daily Log'!$M$2:$M$500,'Daily Log'!$B$2:$B$500,$A34,'Daily Log'!$F$2:$F$500,"Net India",'Daily Log'!$H$2:$H$500,"Trade estimate",'Daily Log'!$J$2:$J$500,"&gt;=2")))</f>
        <v/>
      </c>
      <c r="J34" s="17" t="str">
        <f aca="false">IF(I34="","",_xlfn.MAXIFS('Daily Log'!$M$2:$M$500,'Daily Log'!$B$2:$B$500,$A34,'Daily Log'!$F$2:$F$500,"Net India",'Daily Log'!$H$2:$H$500,"Trade estimate",'Daily Log'!$J$2:$J$500,"&gt;=2"))</f>
        <v/>
      </c>
      <c r="K34" s="18" t="str">
        <f aca="false">IF(A34="","",IF(I34="","Needs 2+ trade sources",IF(I34&lt;=Lists!$E$6,"Good",IF(I34&lt;=Lists!$E$2,"Moderate","Bad"))))</f>
        <v/>
      </c>
      <c r="L34" s="18" t="str">
        <f aca="false">IF(OR(A34="",G34=""),"",IF(ABS(G34)&lt;=Lists!$E$6,"Good (Aligned)",IF(ABS(G34)&lt;=Lists!$E$2,"Moderate Gap","Bad (Inflated)")))</f>
        <v/>
      </c>
    </row>
    <row r="35" customFormat="false" ht="14.25" hidden="false" customHeight="true" outlineLevel="0" collapsed="false">
      <c r="A35" s="14" t="str">
        <f aca="false">IF(Films!A35="","",Films!A35)</f>
        <v/>
      </c>
      <c r="B35" s="14" t="str">
        <f aca="false">IF(A35="","",Films!B35)</f>
        <v/>
      </c>
      <c r="C35" s="15" t="str">
        <f aca="false">IF(A35="","",Films!C35)</f>
        <v/>
      </c>
      <c r="D35" s="14" t="str">
        <f aca="false">IF(A35="","",IF(COUNTIFS('Daily Log'!$B$2:$B$500,A35)=0,"",_xlfn.MAXIFS('Daily Log'!$D$2:$D$500,'Daily Log'!$B$2:$B$500,A35)))</f>
        <v/>
      </c>
      <c r="E35" s="16" t="str">
        <f aca="false">IF(A35="","",IFERROR(AVERAGEIFS('Daily Log'!$E$2:$E$500,'Daily Log'!$B$2:$B$500,$A35,'Daily Log'!$F$2:$F$500,"Net India",'Daily Log'!$D$2:$D$500,1,'Daily Log'!$H$2:$H$500,"Trade estimate"),IFERROR(AVERAGEIFS('Daily Log'!$E$2:$E$500,'Daily Log'!$B$2:$B$500,$A35,'Daily Log'!$F$2:$F$500,"Net India",'Daily Log'!$D$2:$D$500,D35,'Daily Log'!$H$2:$H$500,"Trade estimate"),"")))</f>
        <v/>
      </c>
      <c r="F35" s="16" t="str">
        <f aca="false">IF(A35="","",IFERROR(AVERAGEIFS('Daily Log'!$E$2:$E$500,'Daily Log'!$B$2:$B$500,$A35,'Daily Log'!$F$2:$F$500,"Net India",'Daily Log'!$D$2:$D$500,1,'Daily Log'!$H$2:$H$500,"Producer-reported"),IFERROR(AVERAGEIFS('Daily Log'!$E$2:$E$500,'Daily Log'!$B$2:$B$500,$A35,'Daily Log'!$F$2:$F$500,"Net India",'Daily Log'!$D$2:$D$500,D35,'Daily Log'!$H$2:$H$500,"Producer-reported"),"")))</f>
        <v/>
      </c>
      <c r="G35" s="17" t="str">
        <f aca="false">IF(OR(E35="",F35=""),"",IF(E35=0,"",F35/E35-1))</f>
        <v/>
      </c>
      <c r="H35" s="16" t="str">
        <f aca="false">IF(OR(A35="",D35=""),"",IFERROR(AVERAGEIFS('Daily Log'!$E$2:$E$500,'Daily Log'!$B$2:$B$500,$A35,'Daily Log'!$F$2:$F$500,"Net India",'Daily Log'!$D$2:$D$500,D35,'Daily Log'!$H$2:$H$500,"Trade estimate"),""))</f>
        <v/>
      </c>
      <c r="I35" s="17" t="str">
        <f aca="false">IF(A35="","",IF(COUNTIFS('Daily Log'!$B$2:$B$500,$A35,'Daily Log'!$F$2:$F$500,"Net India",'Daily Log'!$H$2:$H$500,"Trade estimate",'Daily Log'!$J$2:$J$500,"&gt;=2")=0,"",AVERAGEIFS('Daily Log'!$M$2:$M$500,'Daily Log'!$B$2:$B$500,$A35,'Daily Log'!$F$2:$F$500,"Net India",'Daily Log'!$H$2:$H$500,"Trade estimate",'Daily Log'!$J$2:$J$500,"&gt;=2")))</f>
        <v/>
      </c>
      <c r="J35" s="17" t="str">
        <f aca="false">IF(I35="","",_xlfn.MAXIFS('Daily Log'!$M$2:$M$500,'Daily Log'!$B$2:$B$500,$A35,'Daily Log'!$F$2:$F$500,"Net India",'Daily Log'!$H$2:$H$500,"Trade estimate",'Daily Log'!$J$2:$J$500,"&gt;=2"))</f>
        <v/>
      </c>
      <c r="K35" s="18" t="str">
        <f aca="false">IF(A35="","",IF(I35="","Needs 2+ trade sources",IF(I35&lt;=Lists!$E$6,"Good",IF(I35&lt;=Lists!$E$2,"Moderate","Bad"))))</f>
        <v/>
      </c>
      <c r="L35" s="18" t="str">
        <f aca="false">IF(OR(A35="",G35=""),"",IF(ABS(G35)&lt;=Lists!$E$6,"Good (Aligned)",IF(ABS(G35)&lt;=Lists!$E$2,"Moderate Gap","Bad (Inflated)")))</f>
        <v/>
      </c>
    </row>
    <row r="36" customFormat="false" ht="14.25" hidden="false" customHeight="true" outlineLevel="0" collapsed="false">
      <c r="A36" s="14" t="str">
        <f aca="false">IF(Films!A36="","",Films!A36)</f>
        <v/>
      </c>
      <c r="B36" s="14" t="str">
        <f aca="false">IF(A36="","",Films!B36)</f>
        <v/>
      </c>
      <c r="C36" s="15" t="str">
        <f aca="false">IF(A36="","",Films!C36)</f>
        <v/>
      </c>
      <c r="D36" s="14" t="str">
        <f aca="false">IF(A36="","",IF(COUNTIFS('Daily Log'!$B$2:$B$500,A36)=0,"",_xlfn.MAXIFS('Daily Log'!$D$2:$D$500,'Daily Log'!$B$2:$B$500,A36)))</f>
        <v/>
      </c>
      <c r="E36" s="16" t="str">
        <f aca="false">IF(A36="","",IFERROR(AVERAGEIFS('Daily Log'!$E$2:$E$500,'Daily Log'!$B$2:$B$500,$A36,'Daily Log'!$F$2:$F$500,"Net India",'Daily Log'!$D$2:$D$500,1,'Daily Log'!$H$2:$H$500,"Trade estimate"),IFERROR(AVERAGEIFS('Daily Log'!$E$2:$E$500,'Daily Log'!$B$2:$B$500,$A36,'Daily Log'!$F$2:$F$500,"Net India",'Daily Log'!$D$2:$D$500,D36,'Daily Log'!$H$2:$H$500,"Trade estimate"),"")))</f>
        <v/>
      </c>
      <c r="F36" s="16" t="str">
        <f aca="false">IF(A36="","",IFERROR(AVERAGEIFS('Daily Log'!$E$2:$E$500,'Daily Log'!$B$2:$B$500,$A36,'Daily Log'!$F$2:$F$500,"Net India",'Daily Log'!$D$2:$D$500,1,'Daily Log'!$H$2:$H$500,"Producer-reported"),IFERROR(AVERAGEIFS('Daily Log'!$E$2:$E$500,'Daily Log'!$B$2:$B$500,$A36,'Daily Log'!$F$2:$F$500,"Net India",'Daily Log'!$D$2:$D$500,D36,'Daily Log'!$H$2:$H$500,"Producer-reported"),"")))</f>
        <v/>
      </c>
      <c r="G36" s="17" t="str">
        <f aca="false">IF(OR(E36="",F36=""),"",IF(E36=0,"",F36/E36-1))</f>
        <v/>
      </c>
      <c r="H36" s="16" t="str">
        <f aca="false">IF(OR(A36="",D36=""),"",IFERROR(AVERAGEIFS('Daily Log'!$E$2:$E$500,'Daily Log'!$B$2:$B$500,$A36,'Daily Log'!$F$2:$F$500,"Net India",'Daily Log'!$D$2:$D$500,D36,'Daily Log'!$H$2:$H$500,"Trade estimate"),""))</f>
        <v/>
      </c>
      <c r="I36" s="17" t="str">
        <f aca="false">IF(A36="","",IF(COUNTIFS('Daily Log'!$B$2:$B$500,$A36,'Daily Log'!$F$2:$F$500,"Net India",'Daily Log'!$H$2:$H$500,"Trade estimate",'Daily Log'!$J$2:$J$500,"&gt;=2")=0,"",AVERAGEIFS('Daily Log'!$M$2:$M$500,'Daily Log'!$B$2:$B$500,$A36,'Daily Log'!$F$2:$F$500,"Net India",'Daily Log'!$H$2:$H$500,"Trade estimate",'Daily Log'!$J$2:$J$500,"&gt;=2")))</f>
        <v/>
      </c>
      <c r="J36" s="17" t="str">
        <f aca="false">IF(I36="","",_xlfn.MAXIFS('Daily Log'!$M$2:$M$500,'Daily Log'!$B$2:$B$500,$A36,'Daily Log'!$F$2:$F$500,"Net India",'Daily Log'!$H$2:$H$500,"Trade estimate",'Daily Log'!$J$2:$J$500,"&gt;=2"))</f>
        <v/>
      </c>
      <c r="K36" s="18" t="str">
        <f aca="false">IF(A36="","",IF(I36="","Needs 2+ trade sources",IF(I36&lt;=Lists!$E$6,"Good",IF(I36&lt;=Lists!$E$2,"Moderate","Bad"))))</f>
        <v/>
      </c>
      <c r="L36" s="18" t="str">
        <f aca="false">IF(OR(A36="",G36=""),"",IF(ABS(G36)&lt;=Lists!$E$6,"Good (Aligned)",IF(ABS(G36)&lt;=Lists!$E$2,"Moderate Gap","Bad (Inflated)")))</f>
        <v/>
      </c>
    </row>
    <row r="37" customFormat="false" ht="14.25" hidden="false" customHeight="true" outlineLevel="0" collapsed="false">
      <c r="A37" s="14" t="str">
        <f aca="false">IF(Films!A37="","",Films!A37)</f>
        <v/>
      </c>
      <c r="B37" s="14" t="str">
        <f aca="false">IF(A37="","",Films!B37)</f>
        <v/>
      </c>
      <c r="C37" s="15" t="str">
        <f aca="false">IF(A37="","",Films!C37)</f>
        <v/>
      </c>
      <c r="D37" s="14" t="str">
        <f aca="false">IF(A37="","",IF(COUNTIFS('Daily Log'!$B$2:$B$500,A37)=0,"",_xlfn.MAXIFS('Daily Log'!$D$2:$D$500,'Daily Log'!$B$2:$B$500,A37)))</f>
        <v/>
      </c>
      <c r="E37" s="16" t="str">
        <f aca="false">IF(A37="","",IFERROR(AVERAGEIFS('Daily Log'!$E$2:$E$500,'Daily Log'!$B$2:$B$500,$A37,'Daily Log'!$F$2:$F$500,"Net India",'Daily Log'!$D$2:$D$500,1,'Daily Log'!$H$2:$H$500,"Trade estimate"),IFERROR(AVERAGEIFS('Daily Log'!$E$2:$E$500,'Daily Log'!$B$2:$B$500,$A37,'Daily Log'!$F$2:$F$500,"Net India",'Daily Log'!$D$2:$D$500,D37,'Daily Log'!$H$2:$H$500,"Trade estimate"),"")))</f>
        <v/>
      </c>
      <c r="F37" s="16" t="str">
        <f aca="false">IF(A37="","",IFERROR(AVERAGEIFS('Daily Log'!$E$2:$E$500,'Daily Log'!$B$2:$B$500,$A37,'Daily Log'!$F$2:$F$500,"Net India",'Daily Log'!$D$2:$D$500,1,'Daily Log'!$H$2:$H$500,"Producer-reported"),IFERROR(AVERAGEIFS('Daily Log'!$E$2:$E$500,'Daily Log'!$B$2:$B$500,$A37,'Daily Log'!$F$2:$F$500,"Net India",'Daily Log'!$D$2:$D$500,D37,'Daily Log'!$H$2:$H$500,"Producer-reported"),"")))</f>
        <v/>
      </c>
      <c r="G37" s="17" t="str">
        <f aca="false">IF(OR(E37="",F37=""),"",IF(E37=0,"",F37/E37-1))</f>
        <v/>
      </c>
      <c r="H37" s="16" t="str">
        <f aca="false">IF(OR(A37="",D37=""),"",IFERROR(AVERAGEIFS('Daily Log'!$E$2:$E$500,'Daily Log'!$B$2:$B$500,$A37,'Daily Log'!$F$2:$F$500,"Net India",'Daily Log'!$D$2:$D$500,D37,'Daily Log'!$H$2:$H$500,"Trade estimate"),""))</f>
        <v/>
      </c>
      <c r="I37" s="17" t="str">
        <f aca="false">IF(A37="","",IF(COUNTIFS('Daily Log'!$B$2:$B$500,$A37,'Daily Log'!$F$2:$F$500,"Net India",'Daily Log'!$H$2:$H$500,"Trade estimate",'Daily Log'!$J$2:$J$500,"&gt;=2")=0,"",AVERAGEIFS('Daily Log'!$M$2:$M$500,'Daily Log'!$B$2:$B$500,$A37,'Daily Log'!$F$2:$F$500,"Net India",'Daily Log'!$H$2:$H$500,"Trade estimate",'Daily Log'!$J$2:$J$500,"&gt;=2")))</f>
        <v/>
      </c>
      <c r="J37" s="17" t="str">
        <f aca="false">IF(I37="","",_xlfn.MAXIFS('Daily Log'!$M$2:$M$500,'Daily Log'!$B$2:$B$500,$A37,'Daily Log'!$F$2:$F$500,"Net India",'Daily Log'!$H$2:$H$500,"Trade estimate",'Daily Log'!$J$2:$J$500,"&gt;=2"))</f>
        <v/>
      </c>
      <c r="K37" s="18" t="str">
        <f aca="false">IF(A37="","",IF(I37="","Needs 2+ trade sources",IF(I37&lt;=Lists!$E$6,"Good",IF(I37&lt;=Lists!$E$2,"Moderate","Bad"))))</f>
        <v/>
      </c>
      <c r="L37" s="18" t="str">
        <f aca="false">IF(OR(A37="",G37=""),"",IF(ABS(G37)&lt;=Lists!$E$6,"Good (Aligned)",IF(ABS(G37)&lt;=Lists!$E$2,"Moderate Gap","Bad (Inflated)")))</f>
        <v/>
      </c>
    </row>
    <row r="38" customFormat="false" ht="14.25" hidden="false" customHeight="true" outlineLevel="0" collapsed="false">
      <c r="A38" s="14" t="str">
        <f aca="false">IF(Films!A38="","",Films!A38)</f>
        <v/>
      </c>
      <c r="B38" s="14" t="str">
        <f aca="false">IF(A38="","",Films!B38)</f>
        <v/>
      </c>
      <c r="C38" s="15" t="str">
        <f aca="false">IF(A38="","",Films!C38)</f>
        <v/>
      </c>
      <c r="D38" s="14" t="str">
        <f aca="false">IF(A38="","",IF(COUNTIFS('Daily Log'!$B$2:$B$500,A38)=0,"",_xlfn.MAXIFS('Daily Log'!$D$2:$D$500,'Daily Log'!$B$2:$B$500,A38)))</f>
        <v/>
      </c>
      <c r="E38" s="16" t="str">
        <f aca="false">IF(A38="","",IFERROR(AVERAGEIFS('Daily Log'!$E$2:$E$500,'Daily Log'!$B$2:$B$500,$A38,'Daily Log'!$F$2:$F$500,"Net India",'Daily Log'!$D$2:$D$500,1,'Daily Log'!$H$2:$H$500,"Trade estimate"),IFERROR(AVERAGEIFS('Daily Log'!$E$2:$E$500,'Daily Log'!$B$2:$B$500,$A38,'Daily Log'!$F$2:$F$500,"Net India",'Daily Log'!$D$2:$D$500,D38,'Daily Log'!$H$2:$H$500,"Trade estimate"),"")))</f>
        <v/>
      </c>
      <c r="F38" s="16" t="str">
        <f aca="false">IF(A38="","",IFERROR(AVERAGEIFS('Daily Log'!$E$2:$E$500,'Daily Log'!$B$2:$B$500,$A38,'Daily Log'!$F$2:$F$500,"Net India",'Daily Log'!$D$2:$D$500,1,'Daily Log'!$H$2:$H$500,"Producer-reported"),IFERROR(AVERAGEIFS('Daily Log'!$E$2:$E$500,'Daily Log'!$B$2:$B$500,$A38,'Daily Log'!$F$2:$F$500,"Net India",'Daily Log'!$D$2:$D$500,D38,'Daily Log'!$H$2:$H$500,"Producer-reported"),"")))</f>
        <v/>
      </c>
      <c r="G38" s="17" t="str">
        <f aca="false">IF(OR(E38="",F38=""),"",IF(E38=0,"",F38/E38-1))</f>
        <v/>
      </c>
      <c r="H38" s="16" t="str">
        <f aca="false">IF(OR(A38="",D38=""),"",IFERROR(AVERAGEIFS('Daily Log'!$E$2:$E$500,'Daily Log'!$B$2:$B$500,$A38,'Daily Log'!$F$2:$F$500,"Net India",'Daily Log'!$D$2:$D$500,D38,'Daily Log'!$H$2:$H$500,"Trade estimate"),""))</f>
        <v/>
      </c>
      <c r="I38" s="17" t="str">
        <f aca="false">IF(A38="","",IF(COUNTIFS('Daily Log'!$B$2:$B$500,$A38,'Daily Log'!$F$2:$F$500,"Net India",'Daily Log'!$H$2:$H$500,"Trade estimate",'Daily Log'!$J$2:$J$500,"&gt;=2")=0,"",AVERAGEIFS('Daily Log'!$M$2:$M$500,'Daily Log'!$B$2:$B$500,$A38,'Daily Log'!$F$2:$F$500,"Net India",'Daily Log'!$H$2:$H$500,"Trade estimate",'Daily Log'!$J$2:$J$500,"&gt;=2")))</f>
        <v/>
      </c>
      <c r="J38" s="17" t="str">
        <f aca="false">IF(I38="","",_xlfn.MAXIFS('Daily Log'!$M$2:$M$500,'Daily Log'!$B$2:$B$500,$A38,'Daily Log'!$F$2:$F$500,"Net India",'Daily Log'!$H$2:$H$500,"Trade estimate",'Daily Log'!$J$2:$J$500,"&gt;=2"))</f>
        <v/>
      </c>
      <c r="K38" s="18" t="str">
        <f aca="false">IF(A38="","",IF(I38="","Needs 2+ trade sources",IF(I38&lt;=Lists!$E$6,"Good",IF(I38&lt;=Lists!$E$2,"Moderate","Bad"))))</f>
        <v/>
      </c>
      <c r="L38" s="18" t="str">
        <f aca="false">IF(OR(A38="",G38=""),"",IF(ABS(G38)&lt;=Lists!$E$6,"Good (Aligned)",IF(ABS(G38)&lt;=Lists!$E$2,"Moderate Gap","Bad (Inflated)")))</f>
        <v/>
      </c>
    </row>
    <row r="39" customFormat="false" ht="14.25" hidden="false" customHeight="true" outlineLevel="0" collapsed="false">
      <c r="A39" s="14" t="str">
        <f aca="false">IF(Films!A39="","",Films!A39)</f>
        <v/>
      </c>
      <c r="B39" s="14" t="str">
        <f aca="false">IF(A39="","",Films!B39)</f>
        <v/>
      </c>
      <c r="C39" s="15" t="str">
        <f aca="false">IF(A39="","",Films!C39)</f>
        <v/>
      </c>
      <c r="D39" s="14" t="str">
        <f aca="false">IF(A39="","",IF(COUNTIFS('Daily Log'!$B$2:$B$500,A39)=0,"",_xlfn.MAXIFS('Daily Log'!$D$2:$D$500,'Daily Log'!$B$2:$B$500,A39)))</f>
        <v/>
      </c>
      <c r="E39" s="16" t="str">
        <f aca="false">IF(A39="","",IFERROR(AVERAGEIFS('Daily Log'!$E$2:$E$500,'Daily Log'!$B$2:$B$500,$A39,'Daily Log'!$F$2:$F$500,"Net India",'Daily Log'!$D$2:$D$500,1,'Daily Log'!$H$2:$H$500,"Trade estimate"),IFERROR(AVERAGEIFS('Daily Log'!$E$2:$E$500,'Daily Log'!$B$2:$B$500,$A39,'Daily Log'!$F$2:$F$500,"Net India",'Daily Log'!$D$2:$D$500,D39,'Daily Log'!$H$2:$H$500,"Trade estimate"),"")))</f>
        <v/>
      </c>
      <c r="F39" s="16" t="str">
        <f aca="false">IF(A39="","",IFERROR(AVERAGEIFS('Daily Log'!$E$2:$E$500,'Daily Log'!$B$2:$B$500,$A39,'Daily Log'!$F$2:$F$500,"Net India",'Daily Log'!$D$2:$D$500,1,'Daily Log'!$H$2:$H$500,"Producer-reported"),IFERROR(AVERAGEIFS('Daily Log'!$E$2:$E$500,'Daily Log'!$B$2:$B$500,$A39,'Daily Log'!$F$2:$F$500,"Net India",'Daily Log'!$D$2:$D$500,D39,'Daily Log'!$H$2:$H$500,"Producer-reported"),"")))</f>
        <v/>
      </c>
      <c r="G39" s="17" t="str">
        <f aca="false">IF(OR(E39="",F39=""),"",IF(E39=0,"",F39/E39-1))</f>
        <v/>
      </c>
      <c r="H39" s="16" t="str">
        <f aca="false">IF(OR(A39="",D39=""),"",IFERROR(AVERAGEIFS('Daily Log'!$E$2:$E$500,'Daily Log'!$B$2:$B$500,$A39,'Daily Log'!$F$2:$F$500,"Net India",'Daily Log'!$D$2:$D$500,D39,'Daily Log'!$H$2:$H$500,"Trade estimate"),""))</f>
        <v/>
      </c>
      <c r="I39" s="17" t="str">
        <f aca="false">IF(A39="","",IF(COUNTIFS('Daily Log'!$B$2:$B$500,$A39,'Daily Log'!$F$2:$F$500,"Net India",'Daily Log'!$H$2:$H$500,"Trade estimate",'Daily Log'!$J$2:$J$500,"&gt;=2")=0,"",AVERAGEIFS('Daily Log'!$M$2:$M$500,'Daily Log'!$B$2:$B$500,$A39,'Daily Log'!$F$2:$F$500,"Net India",'Daily Log'!$H$2:$H$500,"Trade estimate",'Daily Log'!$J$2:$J$500,"&gt;=2")))</f>
        <v/>
      </c>
      <c r="J39" s="17" t="str">
        <f aca="false">IF(I39="","",_xlfn.MAXIFS('Daily Log'!$M$2:$M$500,'Daily Log'!$B$2:$B$500,$A39,'Daily Log'!$F$2:$F$500,"Net India",'Daily Log'!$H$2:$H$500,"Trade estimate",'Daily Log'!$J$2:$J$500,"&gt;=2"))</f>
        <v/>
      </c>
      <c r="K39" s="18" t="str">
        <f aca="false">IF(A39="","",IF(I39="","Needs 2+ trade sources",IF(I39&lt;=Lists!$E$6,"Good",IF(I39&lt;=Lists!$E$2,"Moderate","Bad"))))</f>
        <v/>
      </c>
      <c r="L39" s="18" t="str">
        <f aca="false">IF(OR(A39="",G39=""),"",IF(ABS(G39)&lt;=Lists!$E$6,"Good (Aligned)",IF(ABS(G39)&lt;=Lists!$E$2,"Moderate Gap","Bad (Inflated)")))</f>
        <v/>
      </c>
    </row>
    <row r="40" customFormat="false" ht="14.25" hidden="false" customHeight="true" outlineLevel="0" collapsed="false">
      <c r="A40" s="14" t="str">
        <f aca="false">IF(Films!A40="","",Films!A40)</f>
        <v/>
      </c>
      <c r="B40" s="14" t="str">
        <f aca="false">IF(A40="","",Films!B40)</f>
        <v/>
      </c>
      <c r="C40" s="15" t="str">
        <f aca="false">IF(A40="","",Films!C40)</f>
        <v/>
      </c>
      <c r="D40" s="14" t="str">
        <f aca="false">IF(A40="","",IF(COUNTIFS('Daily Log'!$B$2:$B$500,A40)=0,"",_xlfn.MAXIFS('Daily Log'!$D$2:$D$500,'Daily Log'!$B$2:$B$500,A40)))</f>
        <v/>
      </c>
      <c r="E40" s="16" t="str">
        <f aca="false">IF(A40="","",IFERROR(AVERAGEIFS('Daily Log'!$E$2:$E$500,'Daily Log'!$B$2:$B$500,$A40,'Daily Log'!$F$2:$F$500,"Net India",'Daily Log'!$D$2:$D$500,1,'Daily Log'!$H$2:$H$500,"Trade estimate"),IFERROR(AVERAGEIFS('Daily Log'!$E$2:$E$500,'Daily Log'!$B$2:$B$500,$A40,'Daily Log'!$F$2:$F$500,"Net India",'Daily Log'!$D$2:$D$500,D40,'Daily Log'!$H$2:$H$500,"Trade estimate"),"")))</f>
        <v/>
      </c>
      <c r="F40" s="16" t="str">
        <f aca="false">IF(A40="","",IFERROR(AVERAGEIFS('Daily Log'!$E$2:$E$500,'Daily Log'!$B$2:$B$500,$A40,'Daily Log'!$F$2:$F$500,"Net India",'Daily Log'!$D$2:$D$500,1,'Daily Log'!$H$2:$H$500,"Producer-reported"),IFERROR(AVERAGEIFS('Daily Log'!$E$2:$E$500,'Daily Log'!$B$2:$B$500,$A40,'Daily Log'!$F$2:$F$500,"Net India",'Daily Log'!$D$2:$D$500,D40,'Daily Log'!$H$2:$H$500,"Producer-reported"),"")))</f>
        <v/>
      </c>
      <c r="G40" s="17" t="str">
        <f aca="false">IF(OR(E40="",F40=""),"",IF(E40=0,"",F40/E40-1))</f>
        <v/>
      </c>
      <c r="H40" s="16" t="str">
        <f aca="false">IF(OR(A40="",D40=""),"",IFERROR(AVERAGEIFS('Daily Log'!$E$2:$E$500,'Daily Log'!$B$2:$B$500,$A40,'Daily Log'!$F$2:$F$500,"Net India",'Daily Log'!$D$2:$D$500,D40,'Daily Log'!$H$2:$H$500,"Trade estimate"),""))</f>
        <v/>
      </c>
      <c r="I40" s="17" t="str">
        <f aca="false">IF(A40="","",IF(COUNTIFS('Daily Log'!$B$2:$B$500,$A40,'Daily Log'!$F$2:$F$500,"Net India",'Daily Log'!$H$2:$H$500,"Trade estimate",'Daily Log'!$J$2:$J$500,"&gt;=2")=0,"",AVERAGEIFS('Daily Log'!$M$2:$M$500,'Daily Log'!$B$2:$B$500,$A40,'Daily Log'!$F$2:$F$500,"Net India",'Daily Log'!$H$2:$H$500,"Trade estimate",'Daily Log'!$J$2:$J$500,"&gt;=2")))</f>
        <v/>
      </c>
      <c r="J40" s="17" t="str">
        <f aca="false">IF(I40="","",_xlfn.MAXIFS('Daily Log'!$M$2:$M$500,'Daily Log'!$B$2:$B$500,$A40,'Daily Log'!$F$2:$F$500,"Net India",'Daily Log'!$H$2:$H$500,"Trade estimate",'Daily Log'!$J$2:$J$500,"&gt;=2"))</f>
        <v/>
      </c>
      <c r="K40" s="18" t="str">
        <f aca="false">IF(A40="","",IF(I40="","Needs 2+ trade sources",IF(I40&lt;=Lists!$E$6,"Good",IF(I40&lt;=Lists!$E$2,"Moderate","Bad"))))</f>
        <v/>
      </c>
      <c r="L40" s="18" t="str">
        <f aca="false">IF(OR(A40="",G40=""),"",IF(ABS(G40)&lt;=Lists!$E$6,"Good (Aligned)",IF(ABS(G40)&lt;=Lists!$E$2,"Moderate Gap","Bad (Inflated)")))</f>
        <v/>
      </c>
    </row>
    <row r="41" customFormat="false" ht="14.25" hidden="false" customHeight="true" outlineLevel="0" collapsed="false">
      <c r="A41" s="14" t="str">
        <f aca="false">IF(Films!A41="","",Films!A41)</f>
        <v/>
      </c>
      <c r="B41" s="14" t="str">
        <f aca="false">IF(A41="","",Films!B41)</f>
        <v/>
      </c>
      <c r="C41" s="15" t="str">
        <f aca="false">IF(A41="","",Films!C41)</f>
        <v/>
      </c>
      <c r="D41" s="14" t="str">
        <f aca="false">IF(A41="","",IF(COUNTIFS('Daily Log'!$B$2:$B$500,A41)=0,"",_xlfn.MAXIFS('Daily Log'!$D$2:$D$500,'Daily Log'!$B$2:$B$500,A41)))</f>
        <v/>
      </c>
      <c r="E41" s="16" t="str">
        <f aca="false">IF(A41="","",IFERROR(AVERAGEIFS('Daily Log'!$E$2:$E$500,'Daily Log'!$B$2:$B$500,$A41,'Daily Log'!$F$2:$F$500,"Net India",'Daily Log'!$D$2:$D$500,1,'Daily Log'!$H$2:$H$500,"Trade estimate"),IFERROR(AVERAGEIFS('Daily Log'!$E$2:$E$500,'Daily Log'!$B$2:$B$500,$A41,'Daily Log'!$F$2:$F$500,"Net India",'Daily Log'!$D$2:$D$500,D41,'Daily Log'!$H$2:$H$500,"Trade estimate"),"")))</f>
        <v/>
      </c>
      <c r="F41" s="16" t="str">
        <f aca="false">IF(A41="","",IFERROR(AVERAGEIFS('Daily Log'!$E$2:$E$500,'Daily Log'!$B$2:$B$500,$A41,'Daily Log'!$F$2:$F$500,"Net India",'Daily Log'!$D$2:$D$500,1,'Daily Log'!$H$2:$H$500,"Producer-reported"),IFERROR(AVERAGEIFS('Daily Log'!$E$2:$E$500,'Daily Log'!$B$2:$B$500,$A41,'Daily Log'!$F$2:$F$500,"Net India",'Daily Log'!$D$2:$D$500,D41,'Daily Log'!$H$2:$H$500,"Producer-reported"),"")))</f>
        <v/>
      </c>
      <c r="G41" s="17" t="str">
        <f aca="false">IF(OR(E41="",F41=""),"",IF(E41=0,"",F41/E41-1))</f>
        <v/>
      </c>
      <c r="H41" s="16" t="str">
        <f aca="false">IF(OR(A41="",D41=""),"",IFERROR(AVERAGEIFS('Daily Log'!$E$2:$E$500,'Daily Log'!$B$2:$B$500,$A41,'Daily Log'!$F$2:$F$500,"Net India",'Daily Log'!$D$2:$D$500,D41,'Daily Log'!$H$2:$H$500,"Trade estimate"),""))</f>
        <v/>
      </c>
      <c r="I41" s="17" t="str">
        <f aca="false">IF(A41="","",IF(COUNTIFS('Daily Log'!$B$2:$B$500,$A41,'Daily Log'!$F$2:$F$500,"Net India",'Daily Log'!$H$2:$H$500,"Trade estimate",'Daily Log'!$J$2:$J$500,"&gt;=2")=0,"",AVERAGEIFS('Daily Log'!$M$2:$M$500,'Daily Log'!$B$2:$B$500,$A41,'Daily Log'!$F$2:$F$500,"Net India",'Daily Log'!$H$2:$H$500,"Trade estimate",'Daily Log'!$J$2:$J$500,"&gt;=2")))</f>
        <v/>
      </c>
      <c r="J41" s="17" t="str">
        <f aca="false">IF(I41="","",_xlfn.MAXIFS('Daily Log'!$M$2:$M$500,'Daily Log'!$B$2:$B$500,$A41,'Daily Log'!$F$2:$F$500,"Net India",'Daily Log'!$H$2:$H$500,"Trade estimate",'Daily Log'!$J$2:$J$500,"&gt;=2"))</f>
        <v/>
      </c>
      <c r="K41" s="18" t="str">
        <f aca="false">IF(A41="","",IF(I41="","Needs 2+ trade sources",IF(I41&lt;=Lists!$E$6,"Good",IF(I41&lt;=Lists!$E$2,"Moderate","Bad"))))</f>
        <v/>
      </c>
      <c r="L41" s="18" t="str">
        <f aca="false">IF(OR(A41="",G41=""),"",IF(ABS(G41)&lt;=Lists!$E$6,"Good (Aligned)",IF(ABS(G41)&lt;=Lists!$E$2,"Moderate Gap","Bad (Inflated)")))</f>
        <v/>
      </c>
    </row>
    <row r="42" customFormat="false" ht="14.25" hidden="false" customHeight="true" outlineLevel="0" collapsed="false">
      <c r="A42" s="14" t="str">
        <f aca="false">IF(Films!A42="","",Films!A42)</f>
        <v/>
      </c>
      <c r="B42" s="14" t="str">
        <f aca="false">IF(A42="","",Films!B42)</f>
        <v/>
      </c>
      <c r="C42" s="15" t="str">
        <f aca="false">IF(A42="","",Films!C42)</f>
        <v/>
      </c>
      <c r="D42" s="14" t="str">
        <f aca="false">IF(A42="","",IF(COUNTIFS('Daily Log'!$B$2:$B$500,A42)=0,"",_xlfn.MAXIFS('Daily Log'!$D$2:$D$500,'Daily Log'!$B$2:$B$500,A42)))</f>
        <v/>
      </c>
      <c r="E42" s="16" t="str">
        <f aca="false">IF(A42="","",IFERROR(AVERAGEIFS('Daily Log'!$E$2:$E$500,'Daily Log'!$B$2:$B$500,$A42,'Daily Log'!$F$2:$F$500,"Net India",'Daily Log'!$D$2:$D$500,1,'Daily Log'!$H$2:$H$500,"Trade estimate"),IFERROR(AVERAGEIFS('Daily Log'!$E$2:$E$500,'Daily Log'!$B$2:$B$500,$A42,'Daily Log'!$F$2:$F$500,"Net India",'Daily Log'!$D$2:$D$500,D42,'Daily Log'!$H$2:$H$500,"Trade estimate"),"")))</f>
        <v/>
      </c>
      <c r="F42" s="16" t="str">
        <f aca="false">IF(A42="","",IFERROR(AVERAGEIFS('Daily Log'!$E$2:$E$500,'Daily Log'!$B$2:$B$500,$A42,'Daily Log'!$F$2:$F$500,"Net India",'Daily Log'!$D$2:$D$500,1,'Daily Log'!$H$2:$H$500,"Producer-reported"),IFERROR(AVERAGEIFS('Daily Log'!$E$2:$E$500,'Daily Log'!$B$2:$B$500,$A42,'Daily Log'!$F$2:$F$500,"Net India",'Daily Log'!$D$2:$D$500,D42,'Daily Log'!$H$2:$H$500,"Producer-reported"),"")))</f>
        <v/>
      </c>
      <c r="G42" s="17" t="str">
        <f aca="false">IF(OR(E42="",F42=""),"",IF(E42=0,"",F42/E42-1))</f>
        <v/>
      </c>
      <c r="H42" s="16" t="str">
        <f aca="false">IF(OR(A42="",D42=""),"",IFERROR(AVERAGEIFS('Daily Log'!$E$2:$E$500,'Daily Log'!$B$2:$B$500,$A42,'Daily Log'!$F$2:$F$500,"Net India",'Daily Log'!$D$2:$D$500,D42,'Daily Log'!$H$2:$H$500,"Trade estimate"),""))</f>
        <v/>
      </c>
      <c r="I42" s="17" t="str">
        <f aca="false">IF(A42="","",IF(COUNTIFS('Daily Log'!$B$2:$B$500,$A42,'Daily Log'!$F$2:$F$500,"Net India",'Daily Log'!$H$2:$H$500,"Trade estimate",'Daily Log'!$J$2:$J$500,"&gt;=2")=0,"",AVERAGEIFS('Daily Log'!$M$2:$M$500,'Daily Log'!$B$2:$B$500,$A42,'Daily Log'!$F$2:$F$500,"Net India",'Daily Log'!$H$2:$H$500,"Trade estimate",'Daily Log'!$J$2:$J$500,"&gt;=2")))</f>
        <v/>
      </c>
      <c r="J42" s="17" t="str">
        <f aca="false">IF(I42="","",_xlfn.MAXIFS('Daily Log'!$M$2:$M$500,'Daily Log'!$B$2:$B$500,$A42,'Daily Log'!$F$2:$F$500,"Net India",'Daily Log'!$H$2:$H$500,"Trade estimate",'Daily Log'!$J$2:$J$500,"&gt;=2"))</f>
        <v/>
      </c>
      <c r="K42" s="18" t="str">
        <f aca="false">IF(A42="","",IF(I42="","Needs 2+ trade sources",IF(I42&lt;=Lists!$E$6,"Good",IF(I42&lt;=Lists!$E$2,"Moderate","Bad"))))</f>
        <v/>
      </c>
      <c r="L42" s="18" t="str">
        <f aca="false">IF(OR(A42="",G42=""),"",IF(ABS(G42)&lt;=Lists!$E$6,"Good (Aligned)",IF(ABS(G42)&lt;=Lists!$E$2,"Moderate Gap","Bad (Inflated)")))</f>
        <v/>
      </c>
    </row>
    <row r="43" customFormat="false" ht="14.25" hidden="false" customHeight="true" outlineLevel="0" collapsed="false">
      <c r="A43" s="14" t="str">
        <f aca="false">IF(Films!A43="","",Films!A43)</f>
        <v/>
      </c>
      <c r="B43" s="14" t="str">
        <f aca="false">IF(A43="","",Films!B43)</f>
        <v/>
      </c>
      <c r="C43" s="15" t="str">
        <f aca="false">IF(A43="","",Films!C43)</f>
        <v/>
      </c>
      <c r="D43" s="14" t="str">
        <f aca="false">IF(A43="","",IF(COUNTIFS('Daily Log'!$B$2:$B$500,A43)=0,"",_xlfn.MAXIFS('Daily Log'!$D$2:$D$500,'Daily Log'!$B$2:$B$500,A43)))</f>
        <v/>
      </c>
      <c r="E43" s="16" t="str">
        <f aca="false">IF(A43="","",IFERROR(AVERAGEIFS('Daily Log'!$E$2:$E$500,'Daily Log'!$B$2:$B$500,$A43,'Daily Log'!$F$2:$F$500,"Net India",'Daily Log'!$D$2:$D$500,1,'Daily Log'!$H$2:$H$500,"Trade estimate"),IFERROR(AVERAGEIFS('Daily Log'!$E$2:$E$500,'Daily Log'!$B$2:$B$500,$A43,'Daily Log'!$F$2:$F$500,"Net India",'Daily Log'!$D$2:$D$500,D43,'Daily Log'!$H$2:$H$500,"Trade estimate"),"")))</f>
        <v/>
      </c>
      <c r="F43" s="16" t="str">
        <f aca="false">IF(A43="","",IFERROR(AVERAGEIFS('Daily Log'!$E$2:$E$500,'Daily Log'!$B$2:$B$500,$A43,'Daily Log'!$F$2:$F$500,"Net India",'Daily Log'!$D$2:$D$500,1,'Daily Log'!$H$2:$H$500,"Producer-reported"),IFERROR(AVERAGEIFS('Daily Log'!$E$2:$E$500,'Daily Log'!$B$2:$B$500,$A43,'Daily Log'!$F$2:$F$500,"Net India",'Daily Log'!$D$2:$D$500,D43,'Daily Log'!$H$2:$H$500,"Producer-reported"),"")))</f>
        <v/>
      </c>
      <c r="G43" s="17" t="str">
        <f aca="false">IF(OR(E43="",F43=""),"",IF(E43=0,"",F43/E43-1))</f>
        <v/>
      </c>
      <c r="H43" s="16" t="str">
        <f aca="false">IF(OR(A43="",D43=""),"",IFERROR(AVERAGEIFS('Daily Log'!$E$2:$E$500,'Daily Log'!$B$2:$B$500,$A43,'Daily Log'!$F$2:$F$500,"Net India",'Daily Log'!$D$2:$D$500,D43,'Daily Log'!$H$2:$H$500,"Trade estimate"),""))</f>
        <v/>
      </c>
      <c r="I43" s="17" t="str">
        <f aca="false">IF(A43="","",IF(COUNTIFS('Daily Log'!$B$2:$B$500,$A43,'Daily Log'!$F$2:$F$500,"Net India",'Daily Log'!$H$2:$H$500,"Trade estimate",'Daily Log'!$J$2:$J$500,"&gt;=2")=0,"",AVERAGEIFS('Daily Log'!$M$2:$M$500,'Daily Log'!$B$2:$B$500,$A43,'Daily Log'!$F$2:$F$500,"Net India",'Daily Log'!$H$2:$H$500,"Trade estimate",'Daily Log'!$J$2:$J$500,"&gt;=2")))</f>
        <v/>
      </c>
      <c r="J43" s="17" t="str">
        <f aca="false">IF(I43="","",_xlfn.MAXIFS('Daily Log'!$M$2:$M$500,'Daily Log'!$B$2:$B$500,$A43,'Daily Log'!$F$2:$F$500,"Net India",'Daily Log'!$H$2:$H$500,"Trade estimate",'Daily Log'!$J$2:$J$500,"&gt;=2"))</f>
        <v/>
      </c>
      <c r="K43" s="18" t="str">
        <f aca="false">IF(A43="","",IF(I43="","Needs 2+ trade sources",IF(I43&lt;=Lists!$E$6,"Good",IF(I43&lt;=Lists!$E$2,"Moderate","Bad"))))</f>
        <v/>
      </c>
      <c r="L43" s="18" t="str">
        <f aca="false">IF(OR(A43="",G43=""),"",IF(ABS(G43)&lt;=Lists!$E$6,"Good (Aligned)",IF(ABS(G43)&lt;=Lists!$E$2,"Moderate Gap","Bad (Inflated)")))</f>
        <v/>
      </c>
    </row>
    <row r="44" customFormat="false" ht="14.25" hidden="false" customHeight="true" outlineLevel="0" collapsed="false">
      <c r="A44" s="14" t="str">
        <f aca="false">IF(Films!A44="","",Films!A44)</f>
        <v/>
      </c>
      <c r="B44" s="14" t="str">
        <f aca="false">IF(A44="","",Films!B44)</f>
        <v/>
      </c>
      <c r="C44" s="15" t="str">
        <f aca="false">IF(A44="","",Films!C44)</f>
        <v/>
      </c>
      <c r="D44" s="14" t="str">
        <f aca="false">IF(A44="","",IF(COUNTIFS('Daily Log'!$B$2:$B$500,A44)=0,"",_xlfn.MAXIFS('Daily Log'!$D$2:$D$500,'Daily Log'!$B$2:$B$500,A44)))</f>
        <v/>
      </c>
      <c r="E44" s="16" t="str">
        <f aca="false">IF(A44="","",IFERROR(AVERAGEIFS('Daily Log'!$E$2:$E$500,'Daily Log'!$B$2:$B$500,$A44,'Daily Log'!$F$2:$F$500,"Net India",'Daily Log'!$D$2:$D$500,1,'Daily Log'!$H$2:$H$500,"Trade estimate"),IFERROR(AVERAGEIFS('Daily Log'!$E$2:$E$500,'Daily Log'!$B$2:$B$500,$A44,'Daily Log'!$F$2:$F$500,"Net India",'Daily Log'!$D$2:$D$500,D44,'Daily Log'!$H$2:$H$500,"Trade estimate"),"")))</f>
        <v/>
      </c>
      <c r="F44" s="16" t="str">
        <f aca="false">IF(A44="","",IFERROR(AVERAGEIFS('Daily Log'!$E$2:$E$500,'Daily Log'!$B$2:$B$500,$A44,'Daily Log'!$F$2:$F$500,"Net India",'Daily Log'!$D$2:$D$500,1,'Daily Log'!$H$2:$H$500,"Producer-reported"),IFERROR(AVERAGEIFS('Daily Log'!$E$2:$E$500,'Daily Log'!$B$2:$B$500,$A44,'Daily Log'!$F$2:$F$500,"Net India",'Daily Log'!$D$2:$D$500,D44,'Daily Log'!$H$2:$H$500,"Producer-reported"),"")))</f>
        <v/>
      </c>
      <c r="G44" s="17" t="str">
        <f aca="false">IF(OR(E44="",F44=""),"",IF(E44=0,"",F44/E44-1))</f>
        <v/>
      </c>
      <c r="H44" s="16" t="str">
        <f aca="false">IF(OR(A44="",D44=""),"",IFERROR(AVERAGEIFS('Daily Log'!$E$2:$E$500,'Daily Log'!$B$2:$B$500,$A44,'Daily Log'!$F$2:$F$500,"Net India",'Daily Log'!$D$2:$D$500,D44,'Daily Log'!$H$2:$H$500,"Trade estimate"),""))</f>
        <v/>
      </c>
      <c r="I44" s="17" t="str">
        <f aca="false">IF(A44="","",IF(COUNTIFS('Daily Log'!$B$2:$B$500,$A44,'Daily Log'!$F$2:$F$500,"Net India",'Daily Log'!$H$2:$H$500,"Trade estimate",'Daily Log'!$J$2:$J$500,"&gt;=2")=0,"",AVERAGEIFS('Daily Log'!$M$2:$M$500,'Daily Log'!$B$2:$B$500,$A44,'Daily Log'!$F$2:$F$500,"Net India",'Daily Log'!$H$2:$H$500,"Trade estimate",'Daily Log'!$J$2:$J$500,"&gt;=2")))</f>
        <v/>
      </c>
      <c r="J44" s="17" t="str">
        <f aca="false">IF(I44="","",_xlfn.MAXIFS('Daily Log'!$M$2:$M$500,'Daily Log'!$B$2:$B$500,$A44,'Daily Log'!$F$2:$F$500,"Net India",'Daily Log'!$H$2:$H$500,"Trade estimate",'Daily Log'!$J$2:$J$500,"&gt;=2"))</f>
        <v/>
      </c>
      <c r="K44" s="18" t="str">
        <f aca="false">IF(A44="","",IF(I44="","Needs 2+ trade sources",IF(I44&lt;=Lists!$E$6,"Good",IF(I44&lt;=Lists!$E$2,"Moderate","Bad"))))</f>
        <v/>
      </c>
      <c r="L44" s="18" t="str">
        <f aca="false">IF(OR(A44="",G44=""),"",IF(ABS(G44)&lt;=Lists!$E$6,"Good (Aligned)",IF(ABS(G44)&lt;=Lists!$E$2,"Moderate Gap","Bad (Inflated)")))</f>
        <v/>
      </c>
    </row>
    <row r="45" customFormat="false" ht="14.25" hidden="false" customHeight="true" outlineLevel="0" collapsed="false">
      <c r="A45" s="14" t="str">
        <f aca="false">IF(Films!A45="","",Films!A45)</f>
        <v/>
      </c>
      <c r="B45" s="14" t="str">
        <f aca="false">IF(A45="","",Films!B45)</f>
        <v/>
      </c>
      <c r="C45" s="15" t="str">
        <f aca="false">IF(A45="","",Films!C45)</f>
        <v/>
      </c>
      <c r="D45" s="14" t="str">
        <f aca="false">IF(A45="","",IF(COUNTIFS('Daily Log'!$B$2:$B$500,A45)=0,"",_xlfn.MAXIFS('Daily Log'!$D$2:$D$500,'Daily Log'!$B$2:$B$500,A45)))</f>
        <v/>
      </c>
      <c r="E45" s="16" t="str">
        <f aca="false">IF(A45="","",IFERROR(AVERAGEIFS('Daily Log'!$E$2:$E$500,'Daily Log'!$B$2:$B$500,$A45,'Daily Log'!$F$2:$F$500,"Net India",'Daily Log'!$D$2:$D$500,1,'Daily Log'!$H$2:$H$500,"Trade estimate"),IFERROR(AVERAGEIFS('Daily Log'!$E$2:$E$500,'Daily Log'!$B$2:$B$500,$A45,'Daily Log'!$F$2:$F$500,"Net India",'Daily Log'!$D$2:$D$500,D45,'Daily Log'!$H$2:$H$500,"Trade estimate"),"")))</f>
        <v/>
      </c>
      <c r="F45" s="16" t="str">
        <f aca="false">IF(A45="","",IFERROR(AVERAGEIFS('Daily Log'!$E$2:$E$500,'Daily Log'!$B$2:$B$500,$A45,'Daily Log'!$F$2:$F$500,"Net India",'Daily Log'!$D$2:$D$500,1,'Daily Log'!$H$2:$H$500,"Producer-reported"),IFERROR(AVERAGEIFS('Daily Log'!$E$2:$E$500,'Daily Log'!$B$2:$B$500,$A45,'Daily Log'!$F$2:$F$500,"Net India",'Daily Log'!$D$2:$D$500,D45,'Daily Log'!$H$2:$H$500,"Producer-reported"),"")))</f>
        <v/>
      </c>
      <c r="G45" s="17" t="str">
        <f aca="false">IF(OR(E45="",F45=""),"",IF(E45=0,"",F45/E45-1))</f>
        <v/>
      </c>
      <c r="H45" s="16" t="str">
        <f aca="false">IF(OR(A45="",D45=""),"",IFERROR(AVERAGEIFS('Daily Log'!$E$2:$E$500,'Daily Log'!$B$2:$B$500,$A45,'Daily Log'!$F$2:$F$500,"Net India",'Daily Log'!$D$2:$D$500,D45,'Daily Log'!$H$2:$H$500,"Trade estimate"),""))</f>
        <v/>
      </c>
      <c r="I45" s="17" t="str">
        <f aca="false">IF(A45="","",IF(COUNTIFS('Daily Log'!$B$2:$B$500,$A45,'Daily Log'!$F$2:$F$500,"Net India",'Daily Log'!$H$2:$H$500,"Trade estimate",'Daily Log'!$J$2:$J$500,"&gt;=2")=0,"",AVERAGEIFS('Daily Log'!$M$2:$M$500,'Daily Log'!$B$2:$B$500,$A45,'Daily Log'!$F$2:$F$500,"Net India",'Daily Log'!$H$2:$H$500,"Trade estimate",'Daily Log'!$J$2:$J$500,"&gt;=2")))</f>
        <v/>
      </c>
      <c r="J45" s="17" t="str">
        <f aca="false">IF(I45="","",_xlfn.MAXIFS('Daily Log'!$M$2:$M$500,'Daily Log'!$B$2:$B$500,$A45,'Daily Log'!$F$2:$F$500,"Net India",'Daily Log'!$H$2:$H$500,"Trade estimate",'Daily Log'!$J$2:$J$500,"&gt;=2"))</f>
        <v/>
      </c>
      <c r="K45" s="18" t="str">
        <f aca="false">IF(A45="","",IF(I45="","Needs 2+ trade sources",IF(I45&lt;=Lists!$E$6,"Good",IF(I45&lt;=Lists!$E$2,"Moderate","Bad"))))</f>
        <v/>
      </c>
      <c r="L45" s="18" t="str">
        <f aca="false">IF(OR(A45="",G45=""),"",IF(ABS(G45)&lt;=Lists!$E$6,"Good (Aligned)",IF(ABS(G45)&lt;=Lists!$E$2,"Moderate Gap","Bad (Inflated)")))</f>
        <v/>
      </c>
    </row>
    <row r="46" customFormat="false" ht="14.25" hidden="false" customHeight="true" outlineLevel="0" collapsed="false">
      <c r="A46" s="14" t="str">
        <f aca="false">IF(Films!A46="","",Films!A46)</f>
        <v/>
      </c>
      <c r="B46" s="14" t="str">
        <f aca="false">IF(A46="","",Films!B46)</f>
        <v/>
      </c>
      <c r="C46" s="15" t="str">
        <f aca="false">IF(A46="","",Films!C46)</f>
        <v/>
      </c>
      <c r="D46" s="14" t="str">
        <f aca="false">IF(A46="","",IF(COUNTIFS('Daily Log'!$B$2:$B$500,A46)=0,"",_xlfn.MAXIFS('Daily Log'!$D$2:$D$500,'Daily Log'!$B$2:$B$500,A46)))</f>
        <v/>
      </c>
      <c r="E46" s="16" t="str">
        <f aca="false">IF(A46="","",IFERROR(AVERAGEIFS('Daily Log'!$E$2:$E$500,'Daily Log'!$B$2:$B$500,$A46,'Daily Log'!$F$2:$F$500,"Net India",'Daily Log'!$D$2:$D$500,1,'Daily Log'!$H$2:$H$500,"Trade estimate"),IFERROR(AVERAGEIFS('Daily Log'!$E$2:$E$500,'Daily Log'!$B$2:$B$500,$A46,'Daily Log'!$F$2:$F$500,"Net India",'Daily Log'!$D$2:$D$500,D46,'Daily Log'!$H$2:$H$500,"Trade estimate"),"")))</f>
        <v/>
      </c>
      <c r="F46" s="16" t="str">
        <f aca="false">IF(A46="","",IFERROR(AVERAGEIFS('Daily Log'!$E$2:$E$500,'Daily Log'!$B$2:$B$500,$A46,'Daily Log'!$F$2:$F$500,"Net India",'Daily Log'!$D$2:$D$500,1,'Daily Log'!$H$2:$H$500,"Producer-reported"),IFERROR(AVERAGEIFS('Daily Log'!$E$2:$E$500,'Daily Log'!$B$2:$B$500,$A46,'Daily Log'!$F$2:$F$500,"Net India",'Daily Log'!$D$2:$D$500,D46,'Daily Log'!$H$2:$H$500,"Producer-reported"),"")))</f>
        <v/>
      </c>
      <c r="G46" s="17" t="str">
        <f aca="false">IF(OR(E46="",F46=""),"",IF(E46=0,"",F46/E46-1))</f>
        <v/>
      </c>
      <c r="H46" s="16" t="str">
        <f aca="false">IF(OR(A46="",D46=""),"",IFERROR(AVERAGEIFS('Daily Log'!$E$2:$E$500,'Daily Log'!$B$2:$B$500,$A46,'Daily Log'!$F$2:$F$500,"Net India",'Daily Log'!$D$2:$D$500,D46,'Daily Log'!$H$2:$H$500,"Trade estimate"),""))</f>
        <v/>
      </c>
      <c r="I46" s="17" t="str">
        <f aca="false">IF(A46="","",IF(COUNTIFS('Daily Log'!$B$2:$B$500,$A46,'Daily Log'!$F$2:$F$500,"Net India",'Daily Log'!$H$2:$H$500,"Trade estimate",'Daily Log'!$J$2:$J$500,"&gt;=2")=0,"",AVERAGEIFS('Daily Log'!$M$2:$M$500,'Daily Log'!$B$2:$B$500,$A46,'Daily Log'!$F$2:$F$500,"Net India",'Daily Log'!$H$2:$H$500,"Trade estimate",'Daily Log'!$J$2:$J$500,"&gt;=2")))</f>
        <v/>
      </c>
      <c r="J46" s="17" t="str">
        <f aca="false">IF(I46="","",_xlfn.MAXIFS('Daily Log'!$M$2:$M$500,'Daily Log'!$B$2:$B$500,$A46,'Daily Log'!$F$2:$F$500,"Net India",'Daily Log'!$H$2:$H$500,"Trade estimate",'Daily Log'!$J$2:$J$500,"&gt;=2"))</f>
        <v/>
      </c>
      <c r="K46" s="18" t="str">
        <f aca="false">IF(A46="","",IF(I46="","Needs 2+ trade sources",IF(I46&lt;=Lists!$E$6,"Good",IF(I46&lt;=Lists!$E$2,"Moderate","Bad"))))</f>
        <v/>
      </c>
      <c r="L46" s="18" t="str">
        <f aca="false">IF(OR(A46="",G46=""),"",IF(ABS(G46)&lt;=Lists!$E$6,"Good (Aligned)",IF(ABS(G46)&lt;=Lists!$E$2,"Moderate Gap","Bad (Inflated)")))</f>
        <v/>
      </c>
    </row>
    <row r="47" customFormat="false" ht="14.25" hidden="false" customHeight="true" outlineLevel="0" collapsed="false">
      <c r="A47" s="14" t="str">
        <f aca="false">IF(Films!A47="","",Films!A47)</f>
        <v/>
      </c>
      <c r="B47" s="14" t="str">
        <f aca="false">IF(A47="","",Films!B47)</f>
        <v/>
      </c>
      <c r="C47" s="15" t="str">
        <f aca="false">IF(A47="","",Films!C47)</f>
        <v/>
      </c>
      <c r="D47" s="14" t="str">
        <f aca="false">IF(A47="","",IF(COUNTIFS('Daily Log'!$B$2:$B$500,A47)=0,"",_xlfn.MAXIFS('Daily Log'!$D$2:$D$500,'Daily Log'!$B$2:$B$500,A47)))</f>
        <v/>
      </c>
      <c r="E47" s="16" t="str">
        <f aca="false">IF(A47="","",IFERROR(AVERAGEIFS('Daily Log'!$E$2:$E$500,'Daily Log'!$B$2:$B$500,$A47,'Daily Log'!$F$2:$F$500,"Net India",'Daily Log'!$D$2:$D$500,1,'Daily Log'!$H$2:$H$500,"Trade estimate"),IFERROR(AVERAGEIFS('Daily Log'!$E$2:$E$500,'Daily Log'!$B$2:$B$500,$A47,'Daily Log'!$F$2:$F$500,"Net India",'Daily Log'!$D$2:$D$500,D47,'Daily Log'!$H$2:$H$500,"Trade estimate"),"")))</f>
        <v/>
      </c>
      <c r="F47" s="16" t="str">
        <f aca="false">IF(A47="","",IFERROR(AVERAGEIFS('Daily Log'!$E$2:$E$500,'Daily Log'!$B$2:$B$500,$A47,'Daily Log'!$F$2:$F$500,"Net India",'Daily Log'!$D$2:$D$500,1,'Daily Log'!$H$2:$H$500,"Producer-reported"),IFERROR(AVERAGEIFS('Daily Log'!$E$2:$E$500,'Daily Log'!$B$2:$B$500,$A47,'Daily Log'!$F$2:$F$500,"Net India",'Daily Log'!$D$2:$D$500,D47,'Daily Log'!$H$2:$H$500,"Producer-reported"),"")))</f>
        <v/>
      </c>
      <c r="G47" s="17" t="str">
        <f aca="false">IF(OR(E47="",F47=""),"",IF(E47=0,"",F47/E47-1))</f>
        <v/>
      </c>
      <c r="H47" s="16" t="str">
        <f aca="false">IF(OR(A47="",D47=""),"",IFERROR(AVERAGEIFS('Daily Log'!$E$2:$E$500,'Daily Log'!$B$2:$B$500,$A47,'Daily Log'!$F$2:$F$500,"Net India",'Daily Log'!$D$2:$D$500,D47,'Daily Log'!$H$2:$H$500,"Trade estimate"),""))</f>
        <v/>
      </c>
      <c r="I47" s="17" t="str">
        <f aca="false">IF(A47="","",IF(COUNTIFS('Daily Log'!$B$2:$B$500,$A47,'Daily Log'!$F$2:$F$500,"Net India",'Daily Log'!$H$2:$H$500,"Trade estimate",'Daily Log'!$J$2:$J$500,"&gt;=2")=0,"",AVERAGEIFS('Daily Log'!$M$2:$M$500,'Daily Log'!$B$2:$B$500,$A47,'Daily Log'!$F$2:$F$500,"Net India",'Daily Log'!$H$2:$H$500,"Trade estimate",'Daily Log'!$J$2:$J$500,"&gt;=2")))</f>
        <v/>
      </c>
      <c r="J47" s="17" t="str">
        <f aca="false">IF(I47="","",_xlfn.MAXIFS('Daily Log'!$M$2:$M$500,'Daily Log'!$B$2:$B$500,$A47,'Daily Log'!$F$2:$F$500,"Net India",'Daily Log'!$H$2:$H$500,"Trade estimate",'Daily Log'!$J$2:$J$500,"&gt;=2"))</f>
        <v/>
      </c>
      <c r="K47" s="18" t="str">
        <f aca="false">IF(A47="","",IF(I47="","Needs 2+ trade sources",IF(I47&lt;=Lists!$E$6,"Good",IF(I47&lt;=Lists!$E$2,"Moderate","Bad"))))</f>
        <v/>
      </c>
      <c r="L47" s="18" t="str">
        <f aca="false">IF(OR(A47="",G47=""),"",IF(ABS(G47)&lt;=Lists!$E$6,"Good (Aligned)",IF(ABS(G47)&lt;=Lists!$E$2,"Moderate Gap","Bad (Inflated)")))</f>
        <v/>
      </c>
    </row>
    <row r="48" customFormat="false" ht="14.25" hidden="false" customHeight="true" outlineLevel="0" collapsed="false">
      <c r="A48" s="14" t="str">
        <f aca="false">IF(Films!A48="","",Films!A48)</f>
        <v/>
      </c>
      <c r="B48" s="14" t="str">
        <f aca="false">IF(A48="","",Films!B48)</f>
        <v/>
      </c>
      <c r="C48" s="15" t="str">
        <f aca="false">IF(A48="","",Films!C48)</f>
        <v/>
      </c>
      <c r="D48" s="14" t="str">
        <f aca="false">IF(A48="","",IF(COUNTIFS('Daily Log'!$B$2:$B$500,A48)=0,"",_xlfn.MAXIFS('Daily Log'!$D$2:$D$500,'Daily Log'!$B$2:$B$500,A48)))</f>
        <v/>
      </c>
      <c r="E48" s="16" t="str">
        <f aca="false">IF(A48="","",IFERROR(AVERAGEIFS('Daily Log'!$E$2:$E$500,'Daily Log'!$B$2:$B$500,$A48,'Daily Log'!$F$2:$F$500,"Net India",'Daily Log'!$D$2:$D$500,1,'Daily Log'!$H$2:$H$500,"Trade estimate"),IFERROR(AVERAGEIFS('Daily Log'!$E$2:$E$500,'Daily Log'!$B$2:$B$500,$A48,'Daily Log'!$F$2:$F$500,"Net India",'Daily Log'!$D$2:$D$500,D48,'Daily Log'!$H$2:$H$500,"Trade estimate"),"")))</f>
        <v/>
      </c>
      <c r="F48" s="16" t="str">
        <f aca="false">IF(A48="","",IFERROR(AVERAGEIFS('Daily Log'!$E$2:$E$500,'Daily Log'!$B$2:$B$500,$A48,'Daily Log'!$F$2:$F$500,"Net India",'Daily Log'!$D$2:$D$500,1,'Daily Log'!$H$2:$H$500,"Producer-reported"),IFERROR(AVERAGEIFS('Daily Log'!$E$2:$E$500,'Daily Log'!$B$2:$B$500,$A48,'Daily Log'!$F$2:$F$500,"Net India",'Daily Log'!$D$2:$D$500,D48,'Daily Log'!$H$2:$H$500,"Producer-reported"),"")))</f>
        <v/>
      </c>
      <c r="G48" s="17" t="str">
        <f aca="false">IF(OR(E48="",F48=""),"",IF(E48=0,"",F48/E48-1))</f>
        <v/>
      </c>
      <c r="H48" s="16" t="str">
        <f aca="false">IF(OR(A48="",D48=""),"",IFERROR(AVERAGEIFS('Daily Log'!$E$2:$E$500,'Daily Log'!$B$2:$B$500,$A48,'Daily Log'!$F$2:$F$500,"Net India",'Daily Log'!$D$2:$D$500,D48,'Daily Log'!$H$2:$H$500,"Trade estimate"),""))</f>
        <v/>
      </c>
      <c r="I48" s="17" t="str">
        <f aca="false">IF(A48="","",IF(COUNTIFS('Daily Log'!$B$2:$B$500,$A48,'Daily Log'!$F$2:$F$500,"Net India",'Daily Log'!$H$2:$H$500,"Trade estimate",'Daily Log'!$J$2:$J$500,"&gt;=2")=0,"",AVERAGEIFS('Daily Log'!$M$2:$M$500,'Daily Log'!$B$2:$B$500,$A48,'Daily Log'!$F$2:$F$500,"Net India",'Daily Log'!$H$2:$H$500,"Trade estimate",'Daily Log'!$J$2:$J$500,"&gt;=2")))</f>
        <v/>
      </c>
      <c r="J48" s="17" t="str">
        <f aca="false">IF(I48="","",_xlfn.MAXIFS('Daily Log'!$M$2:$M$500,'Daily Log'!$B$2:$B$500,$A48,'Daily Log'!$F$2:$F$500,"Net India",'Daily Log'!$H$2:$H$500,"Trade estimate",'Daily Log'!$J$2:$J$500,"&gt;=2"))</f>
        <v/>
      </c>
      <c r="K48" s="18" t="str">
        <f aca="false">IF(A48="","",IF(I48="","Needs 2+ trade sources",IF(I48&lt;=Lists!$E$6,"Good",IF(I48&lt;=Lists!$E$2,"Moderate","Bad"))))</f>
        <v/>
      </c>
      <c r="L48" s="18" t="str">
        <f aca="false">IF(OR(A48="",G48=""),"",IF(ABS(G48)&lt;=Lists!$E$6,"Good (Aligned)",IF(ABS(G48)&lt;=Lists!$E$2,"Moderate Gap","Bad (Inflated)")))</f>
        <v/>
      </c>
    </row>
    <row r="49" customFormat="false" ht="14.25" hidden="false" customHeight="true" outlineLevel="0" collapsed="false">
      <c r="A49" s="14" t="str">
        <f aca="false">IF(Films!A49="","",Films!A49)</f>
        <v/>
      </c>
      <c r="B49" s="14" t="str">
        <f aca="false">IF(A49="","",Films!B49)</f>
        <v/>
      </c>
      <c r="C49" s="15" t="str">
        <f aca="false">IF(A49="","",Films!C49)</f>
        <v/>
      </c>
      <c r="D49" s="14" t="str">
        <f aca="false">IF(A49="","",IF(COUNTIFS('Daily Log'!$B$2:$B$500,A49)=0,"",_xlfn.MAXIFS('Daily Log'!$D$2:$D$500,'Daily Log'!$B$2:$B$500,A49)))</f>
        <v/>
      </c>
      <c r="E49" s="16" t="str">
        <f aca="false">IF(A49="","",IFERROR(AVERAGEIFS('Daily Log'!$E$2:$E$500,'Daily Log'!$B$2:$B$500,$A49,'Daily Log'!$F$2:$F$500,"Net India",'Daily Log'!$D$2:$D$500,1,'Daily Log'!$H$2:$H$500,"Trade estimate"),IFERROR(AVERAGEIFS('Daily Log'!$E$2:$E$500,'Daily Log'!$B$2:$B$500,$A49,'Daily Log'!$F$2:$F$500,"Net India",'Daily Log'!$D$2:$D$500,D49,'Daily Log'!$H$2:$H$500,"Trade estimate"),"")))</f>
        <v/>
      </c>
      <c r="F49" s="16" t="str">
        <f aca="false">IF(A49="","",IFERROR(AVERAGEIFS('Daily Log'!$E$2:$E$500,'Daily Log'!$B$2:$B$500,$A49,'Daily Log'!$F$2:$F$500,"Net India",'Daily Log'!$D$2:$D$500,1,'Daily Log'!$H$2:$H$500,"Producer-reported"),IFERROR(AVERAGEIFS('Daily Log'!$E$2:$E$500,'Daily Log'!$B$2:$B$500,$A49,'Daily Log'!$F$2:$F$500,"Net India",'Daily Log'!$D$2:$D$500,D49,'Daily Log'!$H$2:$H$500,"Producer-reported"),"")))</f>
        <v/>
      </c>
      <c r="G49" s="17" t="str">
        <f aca="false">IF(OR(E49="",F49=""),"",IF(E49=0,"",F49/E49-1))</f>
        <v/>
      </c>
      <c r="H49" s="16" t="str">
        <f aca="false">IF(OR(A49="",D49=""),"",IFERROR(AVERAGEIFS('Daily Log'!$E$2:$E$500,'Daily Log'!$B$2:$B$500,$A49,'Daily Log'!$F$2:$F$500,"Net India",'Daily Log'!$D$2:$D$500,D49,'Daily Log'!$H$2:$H$500,"Trade estimate"),""))</f>
        <v/>
      </c>
      <c r="I49" s="17" t="str">
        <f aca="false">IF(A49="","",IF(COUNTIFS('Daily Log'!$B$2:$B$500,$A49,'Daily Log'!$F$2:$F$500,"Net India",'Daily Log'!$H$2:$H$500,"Trade estimate",'Daily Log'!$J$2:$J$500,"&gt;=2")=0,"",AVERAGEIFS('Daily Log'!$M$2:$M$500,'Daily Log'!$B$2:$B$500,$A49,'Daily Log'!$F$2:$F$500,"Net India",'Daily Log'!$H$2:$H$500,"Trade estimate",'Daily Log'!$J$2:$J$500,"&gt;=2")))</f>
        <v/>
      </c>
      <c r="J49" s="17" t="str">
        <f aca="false">IF(I49="","",_xlfn.MAXIFS('Daily Log'!$M$2:$M$500,'Daily Log'!$B$2:$B$500,$A49,'Daily Log'!$F$2:$F$500,"Net India",'Daily Log'!$H$2:$H$500,"Trade estimate",'Daily Log'!$J$2:$J$500,"&gt;=2"))</f>
        <v/>
      </c>
      <c r="K49" s="18" t="str">
        <f aca="false">IF(A49="","",IF(I49="","Needs 2+ trade sources",IF(I49&lt;=Lists!$E$6,"Good",IF(I49&lt;=Lists!$E$2,"Moderate","Bad"))))</f>
        <v/>
      </c>
      <c r="L49" s="18" t="str">
        <f aca="false">IF(OR(A49="",G49=""),"",IF(ABS(G49)&lt;=Lists!$E$6,"Good (Aligned)",IF(ABS(G49)&lt;=Lists!$E$2,"Moderate Gap","Bad (Inflated)")))</f>
        <v/>
      </c>
    </row>
    <row r="50" customFormat="false" ht="14.25" hidden="false" customHeight="true" outlineLevel="0" collapsed="false">
      <c r="A50" s="14" t="str">
        <f aca="false">IF(Films!A50="","",Films!A50)</f>
        <v/>
      </c>
      <c r="B50" s="14" t="str">
        <f aca="false">IF(A50="","",Films!B50)</f>
        <v/>
      </c>
      <c r="C50" s="15" t="str">
        <f aca="false">IF(A50="","",Films!C50)</f>
        <v/>
      </c>
      <c r="D50" s="14" t="str">
        <f aca="false">IF(A50="","",IF(COUNTIFS('Daily Log'!$B$2:$B$500,A50)=0,"",_xlfn.MAXIFS('Daily Log'!$D$2:$D$500,'Daily Log'!$B$2:$B$500,A50)))</f>
        <v/>
      </c>
      <c r="E50" s="16" t="str">
        <f aca="false">IF(A50="","",IFERROR(AVERAGEIFS('Daily Log'!$E$2:$E$500,'Daily Log'!$B$2:$B$500,$A50,'Daily Log'!$F$2:$F$500,"Net India",'Daily Log'!$D$2:$D$500,1,'Daily Log'!$H$2:$H$500,"Trade estimate"),IFERROR(AVERAGEIFS('Daily Log'!$E$2:$E$500,'Daily Log'!$B$2:$B$500,$A50,'Daily Log'!$F$2:$F$500,"Net India",'Daily Log'!$D$2:$D$500,D50,'Daily Log'!$H$2:$H$500,"Trade estimate"),"")))</f>
        <v/>
      </c>
      <c r="F50" s="16" t="str">
        <f aca="false">IF(A50="","",IFERROR(AVERAGEIFS('Daily Log'!$E$2:$E$500,'Daily Log'!$B$2:$B$500,$A50,'Daily Log'!$F$2:$F$500,"Net India",'Daily Log'!$D$2:$D$500,1,'Daily Log'!$H$2:$H$500,"Producer-reported"),IFERROR(AVERAGEIFS('Daily Log'!$E$2:$E$500,'Daily Log'!$B$2:$B$500,$A50,'Daily Log'!$F$2:$F$500,"Net India",'Daily Log'!$D$2:$D$500,D50,'Daily Log'!$H$2:$H$500,"Producer-reported"),"")))</f>
        <v/>
      </c>
      <c r="G50" s="17" t="str">
        <f aca="false">IF(OR(E50="",F50=""),"",IF(E50=0,"",F50/E50-1))</f>
        <v/>
      </c>
      <c r="H50" s="16" t="str">
        <f aca="false">IF(OR(A50="",D50=""),"",IFERROR(AVERAGEIFS('Daily Log'!$E$2:$E$500,'Daily Log'!$B$2:$B$500,$A50,'Daily Log'!$F$2:$F$500,"Net India",'Daily Log'!$D$2:$D$500,D50,'Daily Log'!$H$2:$H$500,"Trade estimate"),""))</f>
        <v/>
      </c>
      <c r="I50" s="17" t="str">
        <f aca="false">IF(A50="","",IF(COUNTIFS('Daily Log'!$B$2:$B$500,$A50,'Daily Log'!$F$2:$F$500,"Net India",'Daily Log'!$H$2:$H$500,"Trade estimate",'Daily Log'!$J$2:$J$500,"&gt;=2")=0,"",AVERAGEIFS('Daily Log'!$M$2:$M$500,'Daily Log'!$B$2:$B$500,$A50,'Daily Log'!$F$2:$F$500,"Net India",'Daily Log'!$H$2:$H$500,"Trade estimate",'Daily Log'!$J$2:$J$500,"&gt;=2")))</f>
        <v/>
      </c>
      <c r="J50" s="17" t="str">
        <f aca="false">IF(I50="","",_xlfn.MAXIFS('Daily Log'!$M$2:$M$500,'Daily Log'!$B$2:$B$500,$A50,'Daily Log'!$F$2:$F$500,"Net India",'Daily Log'!$H$2:$H$500,"Trade estimate",'Daily Log'!$J$2:$J$500,"&gt;=2"))</f>
        <v/>
      </c>
      <c r="K50" s="18" t="str">
        <f aca="false">IF(A50="","",IF(I50="","Needs 2+ trade sources",IF(I50&lt;=Lists!$E$6,"Good",IF(I50&lt;=Lists!$E$2,"Moderate","Bad"))))</f>
        <v/>
      </c>
      <c r="L50" s="18" t="str">
        <f aca="false">IF(OR(A50="",G50=""),"",IF(ABS(G50)&lt;=Lists!$E$6,"Good (Aligned)",IF(ABS(G50)&lt;=Lists!$E$2,"Moderate Gap","Bad (Inflated)")))</f>
        <v/>
      </c>
    </row>
    <row r="51" customFormat="false" ht="14.25" hidden="false" customHeight="true" outlineLevel="0" collapsed="false">
      <c r="A51" s="14" t="str">
        <f aca="false">IF(Films!A51="","",Films!A51)</f>
        <v/>
      </c>
      <c r="B51" s="14" t="str">
        <f aca="false">IF(A51="","",Films!B51)</f>
        <v/>
      </c>
      <c r="C51" s="15" t="str">
        <f aca="false">IF(A51="","",Films!C51)</f>
        <v/>
      </c>
      <c r="D51" s="14" t="str">
        <f aca="false">IF(A51="","",IF(COUNTIFS('Daily Log'!$B$2:$B$500,A51)=0,"",_xlfn.MAXIFS('Daily Log'!$D$2:$D$500,'Daily Log'!$B$2:$B$500,A51)))</f>
        <v/>
      </c>
      <c r="E51" s="16" t="str">
        <f aca="false">IF(A51="","",IFERROR(AVERAGEIFS('Daily Log'!$E$2:$E$500,'Daily Log'!$B$2:$B$500,$A51,'Daily Log'!$F$2:$F$500,"Net India",'Daily Log'!$D$2:$D$500,1,'Daily Log'!$H$2:$H$500,"Trade estimate"),IFERROR(AVERAGEIFS('Daily Log'!$E$2:$E$500,'Daily Log'!$B$2:$B$500,$A51,'Daily Log'!$F$2:$F$500,"Net India",'Daily Log'!$D$2:$D$500,D51,'Daily Log'!$H$2:$H$500,"Trade estimate"),"")))</f>
        <v/>
      </c>
      <c r="F51" s="16" t="str">
        <f aca="false">IF(A51="","",IFERROR(AVERAGEIFS('Daily Log'!$E$2:$E$500,'Daily Log'!$B$2:$B$500,$A51,'Daily Log'!$F$2:$F$500,"Net India",'Daily Log'!$D$2:$D$500,1,'Daily Log'!$H$2:$H$500,"Producer-reported"),IFERROR(AVERAGEIFS('Daily Log'!$E$2:$E$500,'Daily Log'!$B$2:$B$500,$A51,'Daily Log'!$F$2:$F$500,"Net India",'Daily Log'!$D$2:$D$500,D51,'Daily Log'!$H$2:$H$500,"Producer-reported"),"")))</f>
        <v/>
      </c>
      <c r="G51" s="17" t="str">
        <f aca="false">IF(OR(E51="",F51=""),"",IF(E51=0,"",F51/E51-1))</f>
        <v/>
      </c>
      <c r="H51" s="16" t="str">
        <f aca="false">IF(OR(A51="",D51=""),"",IFERROR(AVERAGEIFS('Daily Log'!$E$2:$E$500,'Daily Log'!$B$2:$B$500,$A51,'Daily Log'!$F$2:$F$500,"Net India",'Daily Log'!$D$2:$D$500,D51,'Daily Log'!$H$2:$H$500,"Trade estimate"),""))</f>
        <v/>
      </c>
      <c r="I51" s="17" t="str">
        <f aca="false">IF(A51="","",IF(COUNTIFS('Daily Log'!$B$2:$B$500,$A51,'Daily Log'!$F$2:$F$500,"Net India",'Daily Log'!$H$2:$H$500,"Trade estimate",'Daily Log'!$J$2:$J$500,"&gt;=2")=0,"",AVERAGEIFS('Daily Log'!$M$2:$M$500,'Daily Log'!$B$2:$B$500,$A51,'Daily Log'!$F$2:$F$500,"Net India",'Daily Log'!$H$2:$H$500,"Trade estimate",'Daily Log'!$J$2:$J$500,"&gt;=2")))</f>
        <v/>
      </c>
      <c r="J51" s="17" t="str">
        <f aca="false">IF(I51="","",_xlfn.MAXIFS('Daily Log'!$M$2:$M$500,'Daily Log'!$B$2:$B$500,$A51,'Daily Log'!$F$2:$F$500,"Net India",'Daily Log'!$H$2:$H$500,"Trade estimate",'Daily Log'!$J$2:$J$500,"&gt;=2"))</f>
        <v/>
      </c>
      <c r="K51" s="18" t="str">
        <f aca="false">IF(A51="","",IF(I51="","Needs 2+ trade sources",IF(I51&lt;=Lists!$E$6,"Good",IF(I51&lt;=Lists!$E$2,"Moderate","Bad"))))</f>
        <v/>
      </c>
      <c r="L51" s="18" t="str">
        <f aca="false">IF(OR(A51="",G51=""),"",IF(ABS(G51)&lt;=Lists!$E$6,"Good (Aligned)",IF(ABS(G51)&lt;=Lists!$E$2,"Moderate Gap","Bad (Inflated)")))</f>
        <v/>
      </c>
    </row>
    <row r="52" customFormat="false" ht="14.25" hidden="false" customHeight="true" outlineLevel="0" collapsed="false">
      <c r="A52" s="14" t="str">
        <f aca="false">IF(Films!A52="","",Films!A52)</f>
        <v/>
      </c>
      <c r="B52" s="14" t="str">
        <f aca="false">IF(A52="","",Films!B52)</f>
        <v/>
      </c>
      <c r="C52" s="15" t="str">
        <f aca="false">IF(A52="","",Films!C52)</f>
        <v/>
      </c>
      <c r="D52" s="14" t="str">
        <f aca="false">IF(A52="","",IF(COUNTIFS('Daily Log'!$B$2:$B$500,A52)=0,"",_xlfn.MAXIFS('Daily Log'!$D$2:$D$500,'Daily Log'!$B$2:$B$500,A52)))</f>
        <v/>
      </c>
      <c r="E52" s="16" t="str">
        <f aca="false">IF(A52="","",IFERROR(AVERAGEIFS('Daily Log'!$E$2:$E$500,'Daily Log'!$B$2:$B$500,$A52,'Daily Log'!$F$2:$F$500,"Net India",'Daily Log'!$D$2:$D$500,1,'Daily Log'!$H$2:$H$500,"Trade estimate"),IFERROR(AVERAGEIFS('Daily Log'!$E$2:$E$500,'Daily Log'!$B$2:$B$500,$A52,'Daily Log'!$F$2:$F$500,"Net India",'Daily Log'!$D$2:$D$500,D52,'Daily Log'!$H$2:$H$500,"Trade estimate"),"")))</f>
        <v/>
      </c>
      <c r="F52" s="16" t="str">
        <f aca="false">IF(A52="","",IFERROR(AVERAGEIFS('Daily Log'!$E$2:$E$500,'Daily Log'!$B$2:$B$500,$A52,'Daily Log'!$F$2:$F$500,"Net India",'Daily Log'!$D$2:$D$500,1,'Daily Log'!$H$2:$H$500,"Producer-reported"),IFERROR(AVERAGEIFS('Daily Log'!$E$2:$E$500,'Daily Log'!$B$2:$B$500,$A52,'Daily Log'!$F$2:$F$500,"Net India",'Daily Log'!$D$2:$D$500,D52,'Daily Log'!$H$2:$H$500,"Producer-reported"),"")))</f>
        <v/>
      </c>
      <c r="G52" s="17" t="str">
        <f aca="false">IF(OR(E52="",F52=""),"",IF(E52=0,"",F52/E52-1))</f>
        <v/>
      </c>
      <c r="H52" s="16" t="str">
        <f aca="false">IF(OR(A52="",D52=""),"",IFERROR(AVERAGEIFS('Daily Log'!$E$2:$E$500,'Daily Log'!$B$2:$B$500,$A52,'Daily Log'!$F$2:$F$500,"Net India",'Daily Log'!$D$2:$D$500,D52,'Daily Log'!$H$2:$H$500,"Trade estimate"),""))</f>
        <v/>
      </c>
      <c r="I52" s="17" t="str">
        <f aca="false">IF(A52="","",IF(COUNTIFS('Daily Log'!$B$2:$B$500,$A52,'Daily Log'!$F$2:$F$500,"Net India",'Daily Log'!$H$2:$H$500,"Trade estimate",'Daily Log'!$J$2:$J$500,"&gt;=2")=0,"",AVERAGEIFS('Daily Log'!$M$2:$M$500,'Daily Log'!$B$2:$B$500,$A52,'Daily Log'!$F$2:$F$500,"Net India",'Daily Log'!$H$2:$H$500,"Trade estimate",'Daily Log'!$J$2:$J$500,"&gt;=2")))</f>
        <v/>
      </c>
      <c r="J52" s="17" t="str">
        <f aca="false">IF(I52="","",_xlfn.MAXIFS('Daily Log'!$M$2:$M$500,'Daily Log'!$B$2:$B$500,$A52,'Daily Log'!$F$2:$F$500,"Net India",'Daily Log'!$H$2:$H$500,"Trade estimate",'Daily Log'!$J$2:$J$500,"&gt;=2"))</f>
        <v/>
      </c>
      <c r="K52" s="18" t="str">
        <f aca="false">IF(A52="","",IF(I52="","Needs 2+ trade sources",IF(I52&lt;=Lists!$E$6,"Good",IF(I52&lt;=Lists!$E$2,"Moderate","Bad"))))</f>
        <v/>
      </c>
      <c r="L52" s="18" t="str">
        <f aca="false">IF(OR(A52="",G52=""),"",IF(ABS(G52)&lt;=Lists!$E$6,"Good (Aligned)",IF(ABS(G52)&lt;=Lists!$E$2,"Moderate Gap","Bad (Inflated)")))</f>
        <v/>
      </c>
    </row>
    <row r="53" customFormat="false" ht="14.25" hidden="false" customHeight="true" outlineLevel="0" collapsed="false">
      <c r="A53" s="14" t="str">
        <f aca="false">IF(Films!A53="","",Films!A53)</f>
        <v/>
      </c>
      <c r="B53" s="14" t="str">
        <f aca="false">IF(A53="","",Films!B53)</f>
        <v/>
      </c>
      <c r="C53" s="15" t="str">
        <f aca="false">IF(A53="","",Films!C53)</f>
        <v/>
      </c>
      <c r="D53" s="14" t="str">
        <f aca="false">IF(A53="","",IF(COUNTIFS('Daily Log'!$B$2:$B$500,A53)=0,"",_xlfn.MAXIFS('Daily Log'!$D$2:$D$500,'Daily Log'!$B$2:$B$500,A53)))</f>
        <v/>
      </c>
      <c r="E53" s="16" t="str">
        <f aca="false">IF(A53="","",IFERROR(AVERAGEIFS('Daily Log'!$E$2:$E$500,'Daily Log'!$B$2:$B$500,$A53,'Daily Log'!$F$2:$F$500,"Net India",'Daily Log'!$D$2:$D$500,1,'Daily Log'!$H$2:$H$500,"Trade estimate"),IFERROR(AVERAGEIFS('Daily Log'!$E$2:$E$500,'Daily Log'!$B$2:$B$500,$A53,'Daily Log'!$F$2:$F$500,"Net India",'Daily Log'!$D$2:$D$500,D53,'Daily Log'!$H$2:$H$500,"Trade estimate"),"")))</f>
        <v/>
      </c>
      <c r="F53" s="16" t="str">
        <f aca="false">IF(A53="","",IFERROR(AVERAGEIFS('Daily Log'!$E$2:$E$500,'Daily Log'!$B$2:$B$500,$A53,'Daily Log'!$F$2:$F$500,"Net India",'Daily Log'!$D$2:$D$500,1,'Daily Log'!$H$2:$H$500,"Producer-reported"),IFERROR(AVERAGEIFS('Daily Log'!$E$2:$E$500,'Daily Log'!$B$2:$B$500,$A53,'Daily Log'!$F$2:$F$500,"Net India",'Daily Log'!$D$2:$D$500,D53,'Daily Log'!$H$2:$H$500,"Producer-reported"),"")))</f>
        <v/>
      </c>
      <c r="G53" s="17" t="str">
        <f aca="false">IF(OR(E53="",F53=""),"",IF(E53=0,"",F53/E53-1))</f>
        <v/>
      </c>
      <c r="H53" s="16" t="str">
        <f aca="false">IF(OR(A53="",D53=""),"",IFERROR(AVERAGEIFS('Daily Log'!$E$2:$E$500,'Daily Log'!$B$2:$B$500,$A53,'Daily Log'!$F$2:$F$500,"Net India",'Daily Log'!$D$2:$D$500,D53,'Daily Log'!$H$2:$H$500,"Trade estimate"),""))</f>
        <v/>
      </c>
      <c r="I53" s="17" t="str">
        <f aca="false">IF(A53="","",IF(COUNTIFS('Daily Log'!$B$2:$B$500,$A53,'Daily Log'!$F$2:$F$500,"Net India",'Daily Log'!$H$2:$H$500,"Trade estimate",'Daily Log'!$J$2:$J$500,"&gt;=2")=0,"",AVERAGEIFS('Daily Log'!$M$2:$M$500,'Daily Log'!$B$2:$B$500,$A53,'Daily Log'!$F$2:$F$500,"Net India",'Daily Log'!$H$2:$H$500,"Trade estimate",'Daily Log'!$J$2:$J$500,"&gt;=2")))</f>
        <v/>
      </c>
      <c r="J53" s="17" t="str">
        <f aca="false">IF(I53="","",_xlfn.MAXIFS('Daily Log'!$M$2:$M$500,'Daily Log'!$B$2:$B$500,$A53,'Daily Log'!$F$2:$F$500,"Net India",'Daily Log'!$H$2:$H$500,"Trade estimate",'Daily Log'!$J$2:$J$500,"&gt;=2"))</f>
        <v/>
      </c>
      <c r="K53" s="18" t="str">
        <f aca="false">IF(A53="","",IF(I53="","Needs 2+ trade sources",IF(I53&lt;=Lists!$E$6,"Good",IF(I53&lt;=Lists!$E$2,"Moderate","Bad"))))</f>
        <v/>
      </c>
      <c r="L53" s="18" t="str">
        <f aca="false">IF(OR(A53="",G53=""),"",IF(ABS(G53)&lt;=Lists!$E$6,"Good (Aligned)",IF(ABS(G53)&lt;=Lists!$E$2,"Moderate Gap","Bad (Inflated)")))</f>
        <v/>
      </c>
    </row>
    <row r="54" customFormat="false" ht="14.25" hidden="false" customHeight="true" outlineLevel="0" collapsed="false">
      <c r="A54" s="14" t="str">
        <f aca="false">IF(Films!A54="","",Films!A54)</f>
        <v/>
      </c>
      <c r="B54" s="14" t="str">
        <f aca="false">IF(A54="","",Films!B54)</f>
        <v/>
      </c>
      <c r="C54" s="15" t="str">
        <f aca="false">IF(A54="","",Films!C54)</f>
        <v/>
      </c>
      <c r="D54" s="14" t="str">
        <f aca="false">IF(A54="","",IF(COUNTIFS('Daily Log'!$B$2:$B$500,A54)=0,"",_xlfn.MAXIFS('Daily Log'!$D$2:$D$500,'Daily Log'!$B$2:$B$500,A54)))</f>
        <v/>
      </c>
      <c r="E54" s="16" t="str">
        <f aca="false">IF(A54="","",IFERROR(AVERAGEIFS('Daily Log'!$E$2:$E$500,'Daily Log'!$B$2:$B$500,$A54,'Daily Log'!$F$2:$F$500,"Net India",'Daily Log'!$D$2:$D$500,1,'Daily Log'!$H$2:$H$500,"Trade estimate"),IFERROR(AVERAGEIFS('Daily Log'!$E$2:$E$500,'Daily Log'!$B$2:$B$500,$A54,'Daily Log'!$F$2:$F$500,"Net India",'Daily Log'!$D$2:$D$500,D54,'Daily Log'!$H$2:$H$500,"Trade estimate"),"")))</f>
        <v/>
      </c>
      <c r="F54" s="16" t="str">
        <f aca="false">IF(A54="","",IFERROR(AVERAGEIFS('Daily Log'!$E$2:$E$500,'Daily Log'!$B$2:$B$500,$A54,'Daily Log'!$F$2:$F$500,"Net India",'Daily Log'!$D$2:$D$500,1,'Daily Log'!$H$2:$H$500,"Producer-reported"),IFERROR(AVERAGEIFS('Daily Log'!$E$2:$E$500,'Daily Log'!$B$2:$B$500,$A54,'Daily Log'!$F$2:$F$500,"Net India",'Daily Log'!$D$2:$D$500,D54,'Daily Log'!$H$2:$H$500,"Producer-reported"),"")))</f>
        <v/>
      </c>
      <c r="G54" s="17" t="str">
        <f aca="false">IF(OR(E54="",F54=""),"",IF(E54=0,"",F54/E54-1))</f>
        <v/>
      </c>
      <c r="H54" s="16" t="str">
        <f aca="false">IF(OR(A54="",D54=""),"",IFERROR(AVERAGEIFS('Daily Log'!$E$2:$E$500,'Daily Log'!$B$2:$B$500,$A54,'Daily Log'!$F$2:$F$500,"Net India",'Daily Log'!$D$2:$D$500,D54,'Daily Log'!$H$2:$H$500,"Trade estimate"),""))</f>
        <v/>
      </c>
      <c r="I54" s="17" t="str">
        <f aca="false">IF(A54="","",IF(COUNTIFS('Daily Log'!$B$2:$B$500,$A54,'Daily Log'!$F$2:$F$500,"Net India",'Daily Log'!$H$2:$H$500,"Trade estimate",'Daily Log'!$J$2:$J$500,"&gt;=2")=0,"",AVERAGEIFS('Daily Log'!$M$2:$M$500,'Daily Log'!$B$2:$B$500,$A54,'Daily Log'!$F$2:$F$500,"Net India",'Daily Log'!$H$2:$H$500,"Trade estimate",'Daily Log'!$J$2:$J$500,"&gt;=2")))</f>
        <v/>
      </c>
      <c r="J54" s="17" t="str">
        <f aca="false">IF(I54="","",_xlfn.MAXIFS('Daily Log'!$M$2:$M$500,'Daily Log'!$B$2:$B$500,$A54,'Daily Log'!$F$2:$F$500,"Net India",'Daily Log'!$H$2:$H$500,"Trade estimate",'Daily Log'!$J$2:$J$500,"&gt;=2"))</f>
        <v/>
      </c>
      <c r="K54" s="18" t="str">
        <f aca="false">IF(A54="","",IF(I54="","Needs 2+ trade sources",IF(I54&lt;=Lists!$E$6,"Good",IF(I54&lt;=Lists!$E$2,"Moderate","Bad"))))</f>
        <v/>
      </c>
      <c r="L54" s="18" t="str">
        <f aca="false">IF(OR(A54="",G54=""),"",IF(ABS(G54)&lt;=Lists!$E$6,"Good (Aligned)",IF(ABS(G54)&lt;=Lists!$E$2,"Moderate Gap","Bad (Inflated)")))</f>
        <v/>
      </c>
    </row>
    <row r="55" customFormat="false" ht="14.25" hidden="false" customHeight="true" outlineLevel="0" collapsed="false">
      <c r="A55" s="14" t="str">
        <f aca="false">IF(Films!A55="","",Films!A55)</f>
        <v/>
      </c>
      <c r="B55" s="14" t="str">
        <f aca="false">IF(A55="","",Films!B55)</f>
        <v/>
      </c>
      <c r="C55" s="15" t="str">
        <f aca="false">IF(A55="","",Films!C55)</f>
        <v/>
      </c>
      <c r="D55" s="14" t="str">
        <f aca="false">IF(A55="","",IF(COUNTIFS('Daily Log'!$B$2:$B$500,A55)=0,"",_xlfn.MAXIFS('Daily Log'!$D$2:$D$500,'Daily Log'!$B$2:$B$500,A55)))</f>
        <v/>
      </c>
      <c r="E55" s="16" t="str">
        <f aca="false">IF(A55="","",IFERROR(AVERAGEIFS('Daily Log'!$E$2:$E$500,'Daily Log'!$B$2:$B$500,$A55,'Daily Log'!$F$2:$F$500,"Net India",'Daily Log'!$D$2:$D$500,1,'Daily Log'!$H$2:$H$500,"Trade estimate"),IFERROR(AVERAGEIFS('Daily Log'!$E$2:$E$500,'Daily Log'!$B$2:$B$500,$A55,'Daily Log'!$F$2:$F$500,"Net India",'Daily Log'!$D$2:$D$500,D55,'Daily Log'!$H$2:$H$500,"Trade estimate"),"")))</f>
        <v/>
      </c>
      <c r="F55" s="16" t="str">
        <f aca="false">IF(A55="","",IFERROR(AVERAGEIFS('Daily Log'!$E$2:$E$500,'Daily Log'!$B$2:$B$500,$A55,'Daily Log'!$F$2:$F$500,"Net India",'Daily Log'!$D$2:$D$500,1,'Daily Log'!$H$2:$H$500,"Producer-reported"),IFERROR(AVERAGEIFS('Daily Log'!$E$2:$E$500,'Daily Log'!$B$2:$B$500,$A55,'Daily Log'!$F$2:$F$500,"Net India",'Daily Log'!$D$2:$D$500,D55,'Daily Log'!$H$2:$H$500,"Producer-reported"),"")))</f>
        <v/>
      </c>
      <c r="G55" s="17" t="str">
        <f aca="false">IF(OR(E55="",F55=""),"",IF(E55=0,"",F55/E55-1))</f>
        <v/>
      </c>
      <c r="H55" s="16" t="str">
        <f aca="false">IF(OR(A55="",D55=""),"",IFERROR(AVERAGEIFS('Daily Log'!$E$2:$E$500,'Daily Log'!$B$2:$B$500,$A55,'Daily Log'!$F$2:$F$500,"Net India",'Daily Log'!$D$2:$D$500,D55,'Daily Log'!$H$2:$H$500,"Trade estimate"),""))</f>
        <v/>
      </c>
      <c r="I55" s="17" t="str">
        <f aca="false">IF(A55="","",IF(COUNTIFS('Daily Log'!$B$2:$B$500,$A55,'Daily Log'!$F$2:$F$500,"Net India",'Daily Log'!$H$2:$H$500,"Trade estimate",'Daily Log'!$J$2:$J$500,"&gt;=2")=0,"",AVERAGEIFS('Daily Log'!$M$2:$M$500,'Daily Log'!$B$2:$B$500,$A55,'Daily Log'!$F$2:$F$500,"Net India",'Daily Log'!$H$2:$H$500,"Trade estimate",'Daily Log'!$J$2:$J$500,"&gt;=2")))</f>
        <v/>
      </c>
      <c r="J55" s="17" t="str">
        <f aca="false">IF(I55="","",_xlfn.MAXIFS('Daily Log'!$M$2:$M$500,'Daily Log'!$B$2:$B$500,$A55,'Daily Log'!$F$2:$F$500,"Net India",'Daily Log'!$H$2:$H$500,"Trade estimate",'Daily Log'!$J$2:$J$500,"&gt;=2"))</f>
        <v/>
      </c>
      <c r="K55" s="18" t="str">
        <f aca="false">IF(A55="","",IF(I55="","Needs 2+ trade sources",IF(I55&lt;=Lists!$E$6,"Good",IF(I55&lt;=Lists!$E$2,"Moderate","Bad"))))</f>
        <v/>
      </c>
      <c r="L55" s="18" t="str">
        <f aca="false">IF(OR(A55="",G55=""),"",IF(ABS(G55)&lt;=Lists!$E$6,"Good (Aligned)",IF(ABS(G55)&lt;=Lists!$E$2,"Moderate Gap","Bad (Inflated)")))</f>
        <v/>
      </c>
    </row>
    <row r="56" customFormat="false" ht="14.25" hidden="false" customHeight="true" outlineLevel="0" collapsed="false">
      <c r="A56" s="14" t="str">
        <f aca="false">IF(Films!A56="","",Films!A56)</f>
        <v/>
      </c>
      <c r="B56" s="14" t="str">
        <f aca="false">IF(A56="","",Films!B56)</f>
        <v/>
      </c>
      <c r="C56" s="15" t="str">
        <f aca="false">IF(A56="","",Films!C56)</f>
        <v/>
      </c>
      <c r="D56" s="14" t="str">
        <f aca="false">IF(A56="","",IF(COUNTIFS('Daily Log'!$B$2:$B$500,A56)=0,"",_xlfn.MAXIFS('Daily Log'!$D$2:$D$500,'Daily Log'!$B$2:$B$500,A56)))</f>
        <v/>
      </c>
      <c r="E56" s="16" t="str">
        <f aca="false">IF(A56="","",IFERROR(AVERAGEIFS('Daily Log'!$E$2:$E$500,'Daily Log'!$B$2:$B$500,$A56,'Daily Log'!$F$2:$F$500,"Net India",'Daily Log'!$D$2:$D$500,1,'Daily Log'!$H$2:$H$500,"Trade estimate"),IFERROR(AVERAGEIFS('Daily Log'!$E$2:$E$500,'Daily Log'!$B$2:$B$500,$A56,'Daily Log'!$F$2:$F$500,"Net India",'Daily Log'!$D$2:$D$500,D56,'Daily Log'!$H$2:$H$500,"Trade estimate"),"")))</f>
        <v/>
      </c>
      <c r="F56" s="16" t="str">
        <f aca="false">IF(A56="","",IFERROR(AVERAGEIFS('Daily Log'!$E$2:$E$500,'Daily Log'!$B$2:$B$500,$A56,'Daily Log'!$F$2:$F$500,"Net India",'Daily Log'!$D$2:$D$500,1,'Daily Log'!$H$2:$H$500,"Producer-reported"),IFERROR(AVERAGEIFS('Daily Log'!$E$2:$E$500,'Daily Log'!$B$2:$B$500,$A56,'Daily Log'!$F$2:$F$500,"Net India",'Daily Log'!$D$2:$D$500,D56,'Daily Log'!$H$2:$H$500,"Producer-reported"),"")))</f>
        <v/>
      </c>
      <c r="G56" s="17" t="str">
        <f aca="false">IF(OR(E56="",F56=""),"",IF(E56=0,"",F56/E56-1))</f>
        <v/>
      </c>
      <c r="H56" s="16" t="str">
        <f aca="false">IF(OR(A56="",D56=""),"",IFERROR(AVERAGEIFS('Daily Log'!$E$2:$E$500,'Daily Log'!$B$2:$B$500,$A56,'Daily Log'!$F$2:$F$500,"Net India",'Daily Log'!$D$2:$D$500,D56,'Daily Log'!$H$2:$H$500,"Trade estimate"),""))</f>
        <v/>
      </c>
      <c r="I56" s="17" t="str">
        <f aca="false">IF(A56="","",IF(COUNTIFS('Daily Log'!$B$2:$B$500,$A56,'Daily Log'!$F$2:$F$500,"Net India",'Daily Log'!$H$2:$H$500,"Trade estimate",'Daily Log'!$J$2:$J$500,"&gt;=2")=0,"",AVERAGEIFS('Daily Log'!$M$2:$M$500,'Daily Log'!$B$2:$B$500,$A56,'Daily Log'!$F$2:$F$500,"Net India",'Daily Log'!$H$2:$H$500,"Trade estimate",'Daily Log'!$J$2:$J$500,"&gt;=2")))</f>
        <v/>
      </c>
      <c r="J56" s="17" t="str">
        <f aca="false">IF(I56="","",_xlfn.MAXIFS('Daily Log'!$M$2:$M$500,'Daily Log'!$B$2:$B$500,$A56,'Daily Log'!$F$2:$F$500,"Net India",'Daily Log'!$H$2:$H$500,"Trade estimate",'Daily Log'!$J$2:$J$500,"&gt;=2"))</f>
        <v/>
      </c>
      <c r="K56" s="18" t="str">
        <f aca="false">IF(A56="","",IF(I56="","Needs 2+ trade sources",IF(I56&lt;=Lists!$E$6,"Good",IF(I56&lt;=Lists!$E$2,"Moderate","Bad"))))</f>
        <v/>
      </c>
      <c r="L56" s="18" t="str">
        <f aca="false">IF(OR(A56="",G56=""),"",IF(ABS(G56)&lt;=Lists!$E$6,"Good (Aligned)",IF(ABS(G56)&lt;=Lists!$E$2,"Moderate Gap","Bad (Inflated)")))</f>
        <v/>
      </c>
    </row>
    <row r="57" customFormat="false" ht="14.25" hidden="false" customHeight="true" outlineLevel="0" collapsed="false">
      <c r="A57" s="14" t="str">
        <f aca="false">IF(Films!A57="","",Films!A57)</f>
        <v/>
      </c>
      <c r="B57" s="14" t="str">
        <f aca="false">IF(A57="","",Films!B57)</f>
        <v/>
      </c>
      <c r="C57" s="15" t="str">
        <f aca="false">IF(A57="","",Films!C57)</f>
        <v/>
      </c>
      <c r="D57" s="14" t="str">
        <f aca="false">IF(A57="","",IF(COUNTIFS('Daily Log'!$B$2:$B$500,A57)=0,"",_xlfn.MAXIFS('Daily Log'!$D$2:$D$500,'Daily Log'!$B$2:$B$500,A57)))</f>
        <v/>
      </c>
      <c r="E57" s="16" t="str">
        <f aca="false">IF(A57="","",IFERROR(AVERAGEIFS('Daily Log'!$E$2:$E$500,'Daily Log'!$B$2:$B$500,$A57,'Daily Log'!$F$2:$F$500,"Net India",'Daily Log'!$D$2:$D$500,1,'Daily Log'!$H$2:$H$500,"Trade estimate"),IFERROR(AVERAGEIFS('Daily Log'!$E$2:$E$500,'Daily Log'!$B$2:$B$500,$A57,'Daily Log'!$F$2:$F$500,"Net India",'Daily Log'!$D$2:$D$500,D57,'Daily Log'!$H$2:$H$500,"Trade estimate"),"")))</f>
        <v/>
      </c>
      <c r="F57" s="16" t="str">
        <f aca="false">IF(A57="","",IFERROR(AVERAGEIFS('Daily Log'!$E$2:$E$500,'Daily Log'!$B$2:$B$500,$A57,'Daily Log'!$F$2:$F$500,"Net India",'Daily Log'!$D$2:$D$500,1,'Daily Log'!$H$2:$H$500,"Producer-reported"),IFERROR(AVERAGEIFS('Daily Log'!$E$2:$E$500,'Daily Log'!$B$2:$B$500,$A57,'Daily Log'!$F$2:$F$500,"Net India",'Daily Log'!$D$2:$D$500,D57,'Daily Log'!$H$2:$H$500,"Producer-reported"),"")))</f>
        <v/>
      </c>
      <c r="G57" s="17" t="str">
        <f aca="false">IF(OR(E57="",F57=""),"",IF(E57=0,"",F57/E57-1))</f>
        <v/>
      </c>
      <c r="H57" s="16" t="str">
        <f aca="false">IF(OR(A57="",D57=""),"",IFERROR(AVERAGEIFS('Daily Log'!$E$2:$E$500,'Daily Log'!$B$2:$B$500,$A57,'Daily Log'!$F$2:$F$500,"Net India",'Daily Log'!$D$2:$D$500,D57,'Daily Log'!$H$2:$H$500,"Trade estimate"),""))</f>
        <v/>
      </c>
      <c r="I57" s="17" t="str">
        <f aca="false">IF(A57="","",IF(COUNTIFS('Daily Log'!$B$2:$B$500,$A57,'Daily Log'!$F$2:$F$500,"Net India",'Daily Log'!$H$2:$H$500,"Trade estimate",'Daily Log'!$J$2:$J$500,"&gt;=2")=0,"",AVERAGEIFS('Daily Log'!$M$2:$M$500,'Daily Log'!$B$2:$B$500,$A57,'Daily Log'!$F$2:$F$500,"Net India",'Daily Log'!$H$2:$H$500,"Trade estimate",'Daily Log'!$J$2:$J$500,"&gt;=2")))</f>
        <v/>
      </c>
      <c r="J57" s="17" t="str">
        <f aca="false">IF(I57="","",_xlfn.MAXIFS('Daily Log'!$M$2:$M$500,'Daily Log'!$B$2:$B$500,$A57,'Daily Log'!$F$2:$F$500,"Net India",'Daily Log'!$H$2:$H$500,"Trade estimate",'Daily Log'!$J$2:$J$500,"&gt;=2"))</f>
        <v/>
      </c>
      <c r="K57" s="18" t="str">
        <f aca="false">IF(A57="","",IF(I57="","Needs 2+ trade sources",IF(I57&lt;=Lists!$E$6,"Good",IF(I57&lt;=Lists!$E$2,"Moderate","Bad"))))</f>
        <v/>
      </c>
      <c r="L57" s="18" t="str">
        <f aca="false">IF(OR(A57="",G57=""),"",IF(ABS(G57)&lt;=Lists!$E$6,"Good (Aligned)",IF(ABS(G57)&lt;=Lists!$E$2,"Moderate Gap","Bad (Inflated)")))</f>
        <v/>
      </c>
    </row>
    <row r="58" customFormat="false" ht="14.25" hidden="false" customHeight="true" outlineLevel="0" collapsed="false">
      <c r="A58" s="14" t="str">
        <f aca="false">IF(Films!A58="","",Films!A58)</f>
        <v/>
      </c>
      <c r="B58" s="14" t="str">
        <f aca="false">IF(A58="","",Films!B58)</f>
        <v/>
      </c>
      <c r="C58" s="15" t="str">
        <f aca="false">IF(A58="","",Films!C58)</f>
        <v/>
      </c>
      <c r="D58" s="14" t="str">
        <f aca="false">IF(A58="","",IF(COUNTIFS('Daily Log'!$B$2:$B$500,A58)=0,"",_xlfn.MAXIFS('Daily Log'!$D$2:$D$500,'Daily Log'!$B$2:$B$500,A58)))</f>
        <v/>
      </c>
      <c r="E58" s="16" t="str">
        <f aca="false">IF(A58="","",IFERROR(AVERAGEIFS('Daily Log'!$E$2:$E$500,'Daily Log'!$B$2:$B$500,$A58,'Daily Log'!$F$2:$F$500,"Net India",'Daily Log'!$D$2:$D$500,1,'Daily Log'!$H$2:$H$500,"Trade estimate"),IFERROR(AVERAGEIFS('Daily Log'!$E$2:$E$500,'Daily Log'!$B$2:$B$500,$A58,'Daily Log'!$F$2:$F$500,"Net India",'Daily Log'!$D$2:$D$500,D58,'Daily Log'!$H$2:$H$500,"Trade estimate"),"")))</f>
        <v/>
      </c>
      <c r="F58" s="16" t="str">
        <f aca="false">IF(A58="","",IFERROR(AVERAGEIFS('Daily Log'!$E$2:$E$500,'Daily Log'!$B$2:$B$500,$A58,'Daily Log'!$F$2:$F$500,"Net India",'Daily Log'!$D$2:$D$500,1,'Daily Log'!$H$2:$H$500,"Producer-reported"),IFERROR(AVERAGEIFS('Daily Log'!$E$2:$E$500,'Daily Log'!$B$2:$B$500,$A58,'Daily Log'!$F$2:$F$500,"Net India",'Daily Log'!$D$2:$D$500,D58,'Daily Log'!$H$2:$H$500,"Producer-reported"),"")))</f>
        <v/>
      </c>
      <c r="G58" s="17" t="str">
        <f aca="false">IF(OR(E58="",F58=""),"",IF(E58=0,"",F58/E58-1))</f>
        <v/>
      </c>
      <c r="H58" s="16" t="str">
        <f aca="false">IF(OR(A58="",D58=""),"",IFERROR(AVERAGEIFS('Daily Log'!$E$2:$E$500,'Daily Log'!$B$2:$B$500,$A58,'Daily Log'!$F$2:$F$500,"Net India",'Daily Log'!$D$2:$D$500,D58,'Daily Log'!$H$2:$H$500,"Trade estimate"),""))</f>
        <v/>
      </c>
      <c r="I58" s="17" t="str">
        <f aca="false">IF(A58="","",IF(COUNTIFS('Daily Log'!$B$2:$B$500,$A58,'Daily Log'!$F$2:$F$500,"Net India",'Daily Log'!$H$2:$H$500,"Trade estimate",'Daily Log'!$J$2:$J$500,"&gt;=2")=0,"",AVERAGEIFS('Daily Log'!$M$2:$M$500,'Daily Log'!$B$2:$B$500,$A58,'Daily Log'!$F$2:$F$500,"Net India",'Daily Log'!$H$2:$H$500,"Trade estimate",'Daily Log'!$J$2:$J$500,"&gt;=2")))</f>
        <v/>
      </c>
      <c r="J58" s="17" t="str">
        <f aca="false">IF(I58="","",_xlfn.MAXIFS('Daily Log'!$M$2:$M$500,'Daily Log'!$B$2:$B$500,$A58,'Daily Log'!$F$2:$F$500,"Net India",'Daily Log'!$H$2:$H$500,"Trade estimate",'Daily Log'!$J$2:$J$500,"&gt;=2"))</f>
        <v/>
      </c>
      <c r="K58" s="18" t="str">
        <f aca="false">IF(A58="","",IF(I58="","Needs 2+ trade sources",IF(I58&lt;=Lists!$E$6,"Good",IF(I58&lt;=Lists!$E$2,"Moderate","Bad"))))</f>
        <v/>
      </c>
      <c r="L58" s="18" t="str">
        <f aca="false">IF(OR(A58="",G58=""),"",IF(ABS(G58)&lt;=Lists!$E$6,"Good (Aligned)",IF(ABS(G58)&lt;=Lists!$E$2,"Moderate Gap","Bad (Inflated)")))</f>
        <v/>
      </c>
    </row>
    <row r="59" customFormat="false" ht="14.25" hidden="false" customHeight="true" outlineLevel="0" collapsed="false">
      <c r="A59" s="14" t="str">
        <f aca="false">IF(Films!A59="","",Films!A59)</f>
        <v/>
      </c>
      <c r="B59" s="14" t="str">
        <f aca="false">IF(A59="","",Films!B59)</f>
        <v/>
      </c>
      <c r="C59" s="15" t="str">
        <f aca="false">IF(A59="","",Films!C59)</f>
        <v/>
      </c>
      <c r="D59" s="14" t="str">
        <f aca="false">IF(A59="","",IF(COUNTIFS('Daily Log'!$B$2:$B$500,A59)=0,"",_xlfn.MAXIFS('Daily Log'!$D$2:$D$500,'Daily Log'!$B$2:$B$500,A59)))</f>
        <v/>
      </c>
      <c r="E59" s="16" t="str">
        <f aca="false">IF(A59="","",IFERROR(AVERAGEIFS('Daily Log'!$E$2:$E$500,'Daily Log'!$B$2:$B$500,$A59,'Daily Log'!$F$2:$F$500,"Net India",'Daily Log'!$D$2:$D$500,1,'Daily Log'!$H$2:$H$500,"Trade estimate"),IFERROR(AVERAGEIFS('Daily Log'!$E$2:$E$500,'Daily Log'!$B$2:$B$500,$A59,'Daily Log'!$F$2:$F$500,"Net India",'Daily Log'!$D$2:$D$500,D59,'Daily Log'!$H$2:$H$500,"Trade estimate"),"")))</f>
        <v/>
      </c>
      <c r="F59" s="16" t="str">
        <f aca="false">IF(A59="","",IFERROR(AVERAGEIFS('Daily Log'!$E$2:$E$500,'Daily Log'!$B$2:$B$500,$A59,'Daily Log'!$F$2:$F$500,"Net India",'Daily Log'!$D$2:$D$500,1,'Daily Log'!$H$2:$H$500,"Producer-reported"),IFERROR(AVERAGEIFS('Daily Log'!$E$2:$E$500,'Daily Log'!$B$2:$B$500,$A59,'Daily Log'!$F$2:$F$500,"Net India",'Daily Log'!$D$2:$D$500,D59,'Daily Log'!$H$2:$H$500,"Producer-reported"),"")))</f>
        <v/>
      </c>
      <c r="G59" s="17" t="str">
        <f aca="false">IF(OR(E59="",F59=""),"",IF(E59=0,"",F59/E59-1))</f>
        <v/>
      </c>
      <c r="H59" s="16" t="str">
        <f aca="false">IF(OR(A59="",D59=""),"",IFERROR(AVERAGEIFS('Daily Log'!$E$2:$E$500,'Daily Log'!$B$2:$B$500,$A59,'Daily Log'!$F$2:$F$500,"Net India",'Daily Log'!$D$2:$D$500,D59,'Daily Log'!$H$2:$H$500,"Trade estimate"),""))</f>
        <v/>
      </c>
      <c r="I59" s="17" t="str">
        <f aca="false">IF(A59="","",IF(COUNTIFS('Daily Log'!$B$2:$B$500,$A59,'Daily Log'!$F$2:$F$500,"Net India",'Daily Log'!$H$2:$H$500,"Trade estimate",'Daily Log'!$J$2:$J$500,"&gt;=2")=0,"",AVERAGEIFS('Daily Log'!$M$2:$M$500,'Daily Log'!$B$2:$B$500,$A59,'Daily Log'!$F$2:$F$500,"Net India",'Daily Log'!$H$2:$H$500,"Trade estimate",'Daily Log'!$J$2:$J$500,"&gt;=2")))</f>
        <v/>
      </c>
      <c r="J59" s="17" t="str">
        <f aca="false">IF(I59="","",_xlfn.MAXIFS('Daily Log'!$M$2:$M$500,'Daily Log'!$B$2:$B$500,$A59,'Daily Log'!$F$2:$F$500,"Net India",'Daily Log'!$H$2:$H$500,"Trade estimate",'Daily Log'!$J$2:$J$500,"&gt;=2"))</f>
        <v/>
      </c>
      <c r="K59" s="18" t="str">
        <f aca="false">IF(A59="","",IF(I59="","Needs 2+ trade sources",IF(I59&lt;=Lists!$E$6,"Good",IF(I59&lt;=Lists!$E$2,"Moderate","Bad"))))</f>
        <v/>
      </c>
      <c r="L59" s="18" t="str">
        <f aca="false">IF(OR(A59="",G59=""),"",IF(ABS(G59)&lt;=Lists!$E$6,"Good (Aligned)",IF(ABS(G59)&lt;=Lists!$E$2,"Moderate Gap","Bad (Inflated)")))</f>
        <v/>
      </c>
    </row>
    <row r="60" customFormat="false" ht="14.25" hidden="false" customHeight="true" outlineLevel="0" collapsed="false">
      <c r="A60" s="14" t="str">
        <f aca="false">IF(Films!A60="","",Films!A60)</f>
        <v/>
      </c>
      <c r="B60" s="14" t="str">
        <f aca="false">IF(A60="","",Films!B60)</f>
        <v/>
      </c>
      <c r="C60" s="15" t="str">
        <f aca="false">IF(A60="","",Films!C60)</f>
        <v/>
      </c>
      <c r="D60" s="14" t="str">
        <f aca="false">IF(A60="","",IF(COUNTIFS('Daily Log'!$B$2:$B$500,A60)=0,"",_xlfn.MAXIFS('Daily Log'!$D$2:$D$500,'Daily Log'!$B$2:$B$500,A60)))</f>
        <v/>
      </c>
      <c r="E60" s="16" t="str">
        <f aca="false">IF(A60="","",IFERROR(AVERAGEIFS('Daily Log'!$E$2:$E$500,'Daily Log'!$B$2:$B$500,$A60,'Daily Log'!$F$2:$F$500,"Net India",'Daily Log'!$D$2:$D$500,1,'Daily Log'!$H$2:$H$500,"Trade estimate"),IFERROR(AVERAGEIFS('Daily Log'!$E$2:$E$500,'Daily Log'!$B$2:$B$500,$A60,'Daily Log'!$F$2:$F$500,"Net India",'Daily Log'!$D$2:$D$500,D60,'Daily Log'!$H$2:$H$500,"Trade estimate"),"")))</f>
        <v/>
      </c>
      <c r="F60" s="16" t="str">
        <f aca="false">IF(A60="","",IFERROR(AVERAGEIFS('Daily Log'!$E$2:$E$500,'Daily Log'!$B$2:$B$500,$A60,'Daily Log'!$F$2:$F$500,"Net India",'Daily Log'!$D$2:$D$500,1,'Daily Log'!$H$2:$H$500,"Producer-reported"),IFERROR(AVERAGEIFS('Daily Log'!$E$2:$E$500,'Daily Log'!$B$2:$B$500,$A60,'Daily Log'!$F$2:$F$500,"Net India",'Daily Log'!$D$2:$D$500,D60,'Daily Log'!$H$2:$H$500,"Producer-reported"),"")))</f>
        <v/>
      </c>
      <c r="G60" s="17" t="str">
        <f aca="false">IF(OR(E60="",F60=""),"",IF(E60=0,"",F60/E60-1))</f>
        <v/>
      </c>
      <c r="H60" s="16" t="str">
        <f aca="false">IF(OR(A60="",D60=""),"",IFERROR(AVERAGEIFS('Daily Log'!$E$2:$E$500,'Daily Log'!$B$2:$B$500,$A60,'Daily Log'!$F$2:$F$500,"Net India",'Daily Log'!$D$2:$D$500,D60,'Daily Log'!$H$2:$H$500,"Trade estimate"),""))</f>
        <v/>
      </c>
      <c r="I60" s="17" t="str">
        <f aca="false">IF(A60="","",IF(COUNTIFS('Daily Log'!$B$2:$B$500,$A60,'Daily Log'!$F$2:$F$500,"Net India",'Daily Log'!$H$2:$H$500,"Trade estimate",'Daily Log'!$J$2:$J$500,"&gt;=2")=0,"",AVERAGEIFS('Daily Log'!$M$2:$M$500,'Daily Log'!$B$2:$B$500,$A60,'Daily Log'!$F$2:$F$500,"Net India",'Daily Log'!$H$2:$H$500,"Trade estimate",'Daily Log'!$J$2:$J$500,"&gt;=2")))</f>
        <v/>
      </c>
      <c r="J60" s="17" t="str">
        <f aca="false">IF(I60="","",_xlfn.MAXIFS('Daily Log'!$M$2:$M$500,'Daily Log'!$B$2:$B$500,$A60,'Daily Log'!$F$2:$F$500,"Net India",'Daily Log'!$H$2:$H$500,"Trade estimate",'Daily Log'!$J$2:$J$500,"&gt;=2"))</f>
        <v/>
      </c>
      <c r="K60" s="18" t="str">
        <f aca="false">IF(A60="","",IF(I60="","Needs 2+ trade sources",IF(I60&lt;=Lists!$E$6,"Good",IF(I60&lt;=Lists!$E$2,"Moderate","Bad"))))</f>
        <v/>
      </c>
      <c r="L60" s="18" t="str">
        <f aca="false">IF(OR(A60="",G60=""),"",IF(ABS(G60)&lt;=Lists!$E$6,"Good (Aligned)",IF(ABS(G60)&lt;=Lists!$E$2,"Moderate Gap","Bad (Inflated)")))</f>
        <v/>
      </c>
    </row>
    <row r="61" customFormat="false" ht="14.25" hidden="false" customHeight="true" outlineLevel="0" collapsed="false">
      <c r="A61" s="14" t="str">
        <f aca="false">IF(Films!A61="","",Films!A61)</f>
        <v/>
      </c>
      <c r="B61" s="14" t="str">
        <f aca="false">IF(A61="","",Films!B61)</f>
        <v/>
      </c>
      <c r="C61" s="15" t="str">
        <f aca="false">IF(A61="","",Films!C61)</f>
        <v/>
      </c>
      <c r="D61" s="14" t="str">
        <f aca="false">IF(A61="","",IF(COUNTIFS('Daily Log'!$B$2:$B$500,A61)=0,"",_xlfn.MAXIFS('Daily Log'!$D$2:$D$500,'Daily Log'!$B$2:$B$500,A61)))</f>
        <v/>
      </c>
      <c r="E61" s="16" t="str">
        <f aca="false">IF(A61="","",IFERROR(AVERAGEIFS('Daily Log'!$E$2:$E$500,'Daily Log'!$B$2:$B$500,$A61,'Daily Log'!$F$2:$F$500,"Net India",'Daily Log'!$D$2:$D$500,1,'Daily Log'!$H$2:$H$500,"Trade estimate"),IFERROR(AVERAGEIFS('Daily Log'!$E$2:$E$500,'Daily Log'!$B$2:$B$500,$A61,'Daily Log'!$F$2:$F$500,"Net India",'Daily Log'!$D$2:$D$500,D61,'Daily Log'!$H$2:$H$500,"Trade estimate"),"")))</f>
        <v/>
      </c>
      <c r="F61" s="16" t="str">
        <f aca="false">IF(A61="","",IFERROR(AVERAGEIFS('Daily Log'!$E$2:$E$500,'Daily Log'!$B$2:$B$500,$A61,'Daily Log'!$F$2:$F$500,"Net India",'Daily Log'!$D$2:$D$500,1,'Daily Log'!$H$2:$H$500,"Producer-reported"),IFERROR(AVERAGEIFS('Daily Log'!$E$2:$E$500,'Daily Log'!$B$2:$B$500,$A61,'Daily Log'!$F$2:$F$500,"Net India",'Daily Log'!$D$2:$D$500,D61,'Daily Log'!$H$2:$H$500,"Producer-reported"),"")))</f>
        <v/>
      </c>
      <c r="G61" s="17" t="str">
        <f aca="false">IF(OR(E61="",F61=""),"",IF(E61=0,"",F61/E61-1))</f>
        <v/>
      </c>
      <c r="H61" s="16" t="str">
        <f aca="false">IF(OR(A61="",D61=""),"",IFERROR(AVERAGEIFS('Daily Log'!$E$2:$E$500,'Daily Log'!$B$2:$B$500,$A61,'Daily Log'!$F$2:$F$500,"Net India",'Daily Log'!$D$2:$D$500,D61,'Daily Log'!$H$2:$H$500,"Trade estimate"),""))</f>
        <v/>
      </c>
      <c r="I61" s="17" t="str">
        <f aca="false">IF(A61="","",IF(COUNTIFS('Daily Log'!$B$2:$B$500,$A61,'Daily Log'!$F$2:$F$500,"Net India",'Daily Log'!$H$2:$H$500,"Trade estimate",'Daily Log'!$J$2:$J$500,"&gt;=2")=0,"",AVERAGEIFS('Daily Log'!$M$2:$M$500,'Daily Log'!$B$2:$B$500,$A61,'Daily Log'!$F$2:$F$500,"Net India",'Daily Log'!$H$2:$H$500,"Trade estimate",'Daily Log'!$J$2:$J$500,"&gt;=2")))</f>
        <v/>
      </c>
      <c r="J61" s="17" t="str">
        <f aca="false">IF(I61="","",_xlfn.MAXIFS('Daily Log'!$M$2:$M$500,'Daily Log'!$B$2:$B$500,$A61,'Daily Log'!$F$2:$F$500,"Net India",'Daily Log'!$H$2:$H$500,"Trade estimate",'Daily Log'!$J$2:$J$500,"&gt;=2"))</f>
        <v/>
      </c>
      <c r="K61" s="18" t="str">
        <f aca="false">IF(A61="","",IF(I61="","Needs 2+ trade sources",IF(I61&lt;=Lists!$E$6,"Good",IF(I61&lt;=Lists!$E$2,"Moderate","Bad"))))</f>
        <v/>
      </c>
      <c r="L61" s="18" t="str">
        <f aca="false">IF(OR(A61="",G61=""),"",IF(ABS(G61)&lt;=Lists!$E$6,"Good (Aligned)",IF(ABS(G61)&lt;=Lists!$E$2,"Moderate Gap","Bad (Inflated)")))</f>
        <v/>
      </c>
    </row>
    <row r="62" customFormat="false" ht="14.25" hidden="false" customHeight="true" outlineLevel="0" collapsed="false">
      <c r="A62" s="14" t="str">
        <f aca="false">IF(Films!A62="","",Films!A62)</f>
        <v/>
      </c>
      <c r="B62" s="14" t="str">
        <f aca="false">IF(A62="","",Films!B62)</f>
        <v/>
      </c>
      <c r="C62" s="15" t="str">
        <f aca="false">IF(A62="","",Films!C62)</f>
        <v/>
      </c>
      <c r="D62" s="14" t="str">
        <f aca="false">IF(A62="","",IF(COUNTIFS('Daily Log'!$B$2:$B$500,A62)=0,"",_xlfn.MAXIFS('Daily Log'!$D$2:$D$500,'Daily Log'!$B$2:$B$500,A62)))</f>
        <v/>
      </c>
      <c r="E62" s="16" t="str">
        <f aca="false">IF(A62="","",IFERROR(AVERAGEIFS('Daily Log'!$E$2:$E$500,'Daily Log'!$B$2:$B$500,$A62,'Daily Log'!$F$2:$F$500,"Net India",'Daily Log'!$D$2:$D$500,1,'Daily Log'!$H$2:$H$500,"Trade estimate"),IFERROR(AVERAGEIFS('Daily Log'!$E$2:$E$500,'Daily Log'!$B$2:$B$500,$A62,'Daily Log'!$F$2:$F$500,"Net India",'Daily Log'!$D$2:$D$500,D62,'Daily Log'!$H$2:$H$500,"Trade estimate"),"")))</f>
        <v/>
      </c>
      <c r="F62" s="16" t="str">
        <f aca="false">IF(A62="","",IFERROR(AVERAGEIFS('Daily Log'!$E$2:$E$500,'Daily Log'!$B$2:$B$500,$A62,'Daily Log'!$F$2:$F$500,"Net India",'Daily Log'!$D$2:$D$500,1,'Daily Log'!$H$2:$H$500,"Producer-reported"),IFERROR(AVERAGEIFS('Daily Log'!$E$2:$E$500,'Daily Log'!$B$2:$B$500,$A62,'Daily Log'!$F$2:$F$500,"Net India",'Daily Log'!$D$2:$D$500,D62,'Daily Log'!$H$2:$H$500,"Producer-reported"),"")))</f>
        <v/>
      </c>
      <c r="G62" s="17" t="str">
        <f aca="false">IF(OR(E62="",F62=""),"",IF(E62=0,"",F62/E62-1))</f>
        <v/>
      </c>
      <c r="H62" s="16" t="str">
        <f aca="false">IF(OR(A62="",D62=""),"",IFERROR(AVERAGEIFS('Daily Log'!$E$2:$E$500,'Daily Log'!$B$2:$B$500,$A62,'Daily Log'!$F$2:$F$500,"Net India",'Daily Log'!$D$2:$D$500,D62,'Daily Log'!$H$2:$H$500,"Trade estimate"),""))</f>
        <v/>
      </c>
      <c r="I62" s="17" t="str">
        <f aca="false">IF(A62="","",IF(COUNTIFS('Daily Log'!$B$2:$B$500,$A62,'Daily Log'!$F$2:$F$500,"Net India",'Daily Log'!$H$2:$H$500,"Trade estimate",'Daily Log'!$J$2:$J$500,"&gt;=2")=0,"",AVERAGEIFS('Daily Log'!$M$2:$M$500,'Daily Log'!$B$2:$B$500,$A62,'Daily Log'!$F$2:$F$500,"Net India",'Daily Log'!$H$2:$H$500,"Trade estimate",'Daily Log'!$J$2:$J$500,"&gt;=2")))</f>
        <v/>
      </c>
      <c r="J62" s="17" t="str">
        <f aca="false">IF(I62="","",_xlfn.MAXIFS('Daily Log'!$M$2:$M$500,'Daily Log'!$B$2:$B$500,$A62,'Daily Log'!$F$2:$F$500,"Net India",'Daily Log'!$H$2:$H$500,"Trade estimate",'Daily Log'!$J$2:$J$500,"&gt;=2"))</f>
        <v/>
      </c>
      <c r="K62" s="18" t="str">
        <f aca="false">IF(A62="","",IF(I62="","Needs 2+ trade sources",IF(I62&lt;=Lists!$E$6,"Good",IF(I62&lt;=Lists!$E$2,"Moderate","Bad"))))</f>
        <v/>
      </c>
      <c r="L62" s="18" t="str">
        <f aca="false">IF(OR(A62="",G62=""),"",IF(ABS(G62)&lt;=Lists!$E$6,"Good (Aligned)",IF(ABS(G62)&lt;=Lists!$E$2,"Moderate Gap","Bad (Inflated)")))</f>
        <v/>
      </c>
    </row>
    <row r="63" customFormat="false" ht="14.25" hidden="false" customHeight="true" outlineLevel="0" collapsed="false">
      <c r="A63" s="14" t="str">
        <f aca="false">IF(Films!A63="","",Films!A63)</f>
        <v/>
      </c>
      <c r="B63" s="14" t="str">
        <f aca="false">IF(A63="","",Films!B63)</f>
        <v/>
      </c>
      <c r="C63" s="15" t="str">
        <f aca="false">IF(A63="","",Films!C63)</f>
        <v/>
      </c>
      <c r="D63" s="14" t="str">
        <f aca="false">IF(A63="","",IF(COUNTIFS('Daily Log'!$B$2:$B$500,A63)=0,"",_xlfn.MAXIFS('Daily Log'!$D$2:$D$500,'Daily Log'!$B$2:$B$500,A63)))</f>
        <v/>
      </c>
      <c r="E63" s="16" t="str">
        <f aca="false">IF(A63="","",IFERROR(AVERAGEIFS('Daily Log'!$E$2:$E$500,'Daily Log'!$B$2:$B$500,$A63,'Daily Log'!$F$2:$F$500,"Net India",'Daily Log'!$D$2:$D$500,1,'Daily Log'!$H$2:$H$500,"Trade estimate"),IFERROR(AVERAGEIFS('Daily Log'!$E$2:$E$500,'Daily Log'!$B$2:$B$500,$A63,'Daily Log'!$F$2:$F$500,"Net India",'Daily Log'!$D$2:$D$500,D63,'Daily Log'!$H$2:$H$500,"Trade estimate"),"")))</f>
        <v/>
      </c>
      <c r="F63" s="16" t="str">
        <f aca="false">IF(A63="","",IFERROR(AVERAGEIFS('Daily Log'!$E$2:$E$500,'Daily Log'!$B$2:$B$500,$A63,'Daily Log'!$F$2:$F$500,"Net India",'Daily Log'!$D$2:$D$500,1,'Daily Log'!$H$2:$H$500,"Producer-reported"),IFERROR(AVERAGEIFS('Daily Log'!$E$2:$E$500,'Daily Log'!$B$2:$B$500,$A63,'Daily Log'!$F$2:$F$500,"Net India",'Daily Log'!$D$2:$D$500,D63,'Daily Log'!$H$2:$H$500,"Producer-reported"),"")))</f>
        <v/>
      </c>
      <c r="G63" s="17" t="str">
        <f aca="false">IF(OR(E63="",F63=""),"",IF(E63=0,"",F63/E63-1))</f>
        <v/>
      </c>
      <c r="H63" s="16" t="str">
        <f aca="false">IF(OR(A63="",D63=""),"",IFERROR(AVERAGEIFS('Daily Log'!$E$2:$E$500,'Daily Log'!$B$2:$B$500,$A63,'Daily Log'!$F$2:$F$500,"Net India",'Daily Log'!$D$2:$D$500,D63,'Daily Log'!$H$2:$H$500,"Trade estimate"),""))</f>
        <v/>
      </c>
      <c r="I63" s="17" t="str">
        <f aca="false">IF(A63="","",IF(COUNTIFS('Daily Log'!$B$2:$B$500,$A63,'Daily Log'!$F$2:$F$500,"Net India",'Daily Log'!$H$2:$H$500,"Trade estimate",'Daily Log'!$J$2:$J$500,"&gt;=2")=0,"",AVERAGEIFS('Daily Log'!$M$2:$M$500,'Daily Log'!$B$2:$B$500,$A63,'Daily Log'!$F$2:$F$500,"Net India",'Daily Log'!$H$2:$H$500,"Trade estimate",'Daily Log'!$J$2:$J$500,"&gt;=2")))</f>
        <v/>
      </c>
      <c r="J63" s="17" t="str">
        <f aca="false">IF(I63="","",_xlfn.MAXIFS('Daily Log'!$M$2:$M$500,'Daily Log'!$B$2:$B$500,$A63,'Daily Log'!$F$2:$F$500,"Net India",'Daily Log'!$H$2:$H$500,"Trade estimate",'Daily Log'!$J$2:$J$500,"&gt;=2"))</f>
        <v/>
      </c>
      <c r="K63" s="18" t="str">
        <f aca="false">IF(A63="","",IF(I63="","Needs 2+ trade sources",IF(I63&lt;=Lists!$E$6,"Good",IF(I63&lt;=Lists!$E$2,"Moderate","Bad"))))</f>
        <v/>
      </c>
      <c r="L63" s="18" t="str">
        <f aca="false">IF(OR(A63="",G63=""),"",IF(ABS(G63)&lt;=Lists!$E$6,"Good (Aligned)",IF(ABS(G63)&lt;=Lists!$E$2,"Moderate Gap","Bad (Inflated)")))</f>
        <v/>
      </c>
    </row>
    <row r="64" customFormat="false" ht="14.25" hidden="false" customHeight="true" outlineLevel="0" collapsed="false">
      <c r="A64" s="14" t="str">
        <f aca="false">IF(Films!A64="","",Films!A64)</f>
        <v/>
      </c>
      <c r="B64" s="14" t="str">
        <f aca="false">IF(A64="","",Films!B64)</f>
        <v/>
      </c>
      <c r="C64" s="15" t="str">
        <f aca="false">IF(A64="","",Films!C64)</f>
        <v/>
      </c>
      <c r="D64" s="14" t="str">
        <f aca="false">IF(A64="","",IF(COUNTIFS('Daily Log'!$B$2:$B$500,A64)=0,"",_xlfn.MAXIFS('Daily Log'!$D$2:$D$500,'Daily Log'!$B$2:$B$500,A64)))</f>
        <v/>
      </c>
      <c r="E64" s="16" t="str">
        <f aca="false">IF(A64="","",IFERROR(AVERAGEIFS('Daily Log'!$E$2:$E$500,'Daily Log'!$B$2:$B$500,$A64,'Daily Log'!$F$2:$F$500,"Net India",'Daily Log'!$D$2:$D$500,1,'Daily Log'!$H$2:$H$500,"Trade estimate"),IFERROR(AVERAGEIFS('Daily Log'!$E$2:$E$500,'Daily Log'!$B$2:$B$500,$A64,'Daily Log'!$F$2:$F$500,"Net India",'Daily Log'!$D$2:$D$500,D64,'Daily Log'!$H$2:$H$500,"Trade estimate"),"")))</f>
        <v/>
      </c>
      <c r="F64" s="16" t="str">
        <f aca="false">IF(A64="","",IFERROR(AVERAGEIFS('Daily Log'!$E$2:$E$500,'Daily Log'!$B$2:$B$500,$A64,'Daily Log'!$F$2:$F$500,"Net India",'Daily Log'!$D$2:$D$500,1,'Daily Log'!$H$2:$H$500,"Producer-reported"),IFERROR(AVERAGEIFS('Daily Log'!$E$2:$E$500,'Daily Log'!$B$2:$B$500,$A64,'Daily Log'!$F$2:$F$500,"Net India",'Daily Log'!$D$2:$D$500,D64,'Daily Log'!$H$2:$H$500,"Producer-reported"),"")))</f>
        <v/>
      </c>
      <c r="G64" s="17" t="str">
        <f aca="false">IF(OR(E64="",F64=""),"",IF(E64=0,"",F64/E64-1))</f>
        <v/>
      </c>
      <c r="H64" s="16" t="str">
        <f aca="false">IF(OR(A64="",D64=""),"",IFERROR(AVERAGEIFS('Daily Log'!$E$2:$E$500,'Daily Log'!$B$2:$B$500,$A64,'Daily Log'!$F$2:$F$500,"Net India",'Daily Log'!$D$2:$D$500,D64,'Daily Log'!$H$2:$H$500,"Trade estimate"),""))</f>
        <v/>
      </c>
      <c r="I64" s="17" t="str">
        <f aca="false">IF(A64="","",IF(COUNTIFS('Daily Log'!$B$2:$B$500,$A64,'Daily Log'!$F$2:$F$500,"Net India",'Daily Log'!$H$2:$H$500,"Trade estimate",'Daily Log'!$J$2:$J$500,"&gt;=2")=0,"",AVERAGEIFS('Daily Log'!$M$2:$M$500,'Daily Log'!$B$2:$B$500,$A64,'Daily Log'!$F$2:$F$500,"Net India",'Daily Log'!$H$2:$H$500,"Trade estimate",'Daily Log'!$J$2:$J$500,"&gt;=2")))</f>
        <v/>
      </c>
      <c r="J64" s="17" t="str">
        <f aca="false">IF(I64="","",_xlfn.MAXIFS('Daily Log'!$M$2:$M$500,'Daily Log'!$B$2:$B$500,$A64,'Daily Log'!$F$2:$F$500,"Net India",'Daily Log'!$H$2:$H$500,"Trade estimate",'Daily Log'!$J$2:$J$500,"&gt;=2"))</f>
        <v/>
      </c>
      <c r="K64" s="18" t="str">
        <f aca="false">IF(A64="","",IF(I64="","Needs 2+ trade sources",IF(I64&lt;=Lists!$E$6,"Good",IF(I64&lt;=Lists!$E$2,"Moderate","Bad"))))</f>
        <v/>
      </c>
      <c r="L64" s="18" t="str">
        <f aca="false">IF(OR(A64="",G64=""),"",IF(ABS(G64)&lt;=Lists!$E$6,"Good (Aligned)",IF(ABS(G64)&lt;=Lists!$E$2,"Moderate Gap","Bad (Inflated)")))</f>
        <v/>
      </c>
    </row>
    <row r="65" customFormat="false" ht="14.25" hidden="false" customHeight="true" outlineLevel="0" collapsed="false">
      <c r="A65" s="14" t="str">
        <f aca="false">IF(Films!A65="","",Films!A65)</f>
        <v/>
      </c>
      <c r="B65" s="14" t="str">
        <f aca="false">IF(A65="","",Films!B65)</f>
        <v/>
      </c>
      <c r="C65" s="15" t="str">
        <f aca="false">IF(A65="","",Films!C65)</f>
        <v/>
      </c>
      <c r="D65" s="14" t="str">
        <f aca="false">IF(A65="","",IF(COUNTIFS('Daily Log'!$B$2:$B$500,A65)=0,"",_xlfn.MAXIFS('Daily Log'!$D$2:$D$500,'Daily Log'!$B$2:$B$500,A65)))</f>
        <v/>
      </c>
      <c r="E65" s="16" t="str">
        <f aca="false">IF(A65="","",IFERROR(AVERAGEIFS('Daily Log'!$E$2:$E$500,'Daily Log'!$B$2:$B$500,$A65,'Daily Log'!$F$2:$F$500,"Net India",'Daily Log'!$D$2:$D$500,1,'Daily Log'!$H$2:$H$500,"Trade estimate"),IFERROR(AVERAGEIFS('Daily Log'!$E$2:$E$500,'Daily Log'!$B$2:$B$500,$A65,'Daily Log'!$F$2:$F$500,"Net India",'Daily Log'!$D$2:$D$500,D65,'Daily Log'!$H$2:$H$500,"Trade estimate"),"")))</f>
        <v/>
      </c>
      <c r="F65" s="16" t="str">
        <f aca="false">IF(A65="","",IFERROR(AVERAGEIFS('Daily Log'!$E$2:$E$500,'Daily Log'!$B$2:$B$500,$A65,'Daily Log'!$F$2:$F$500,"Net India",'Daily Log'!$D$2:$D$500,1,'Daily Log'!$H$2:$H$500,"Producer-reported"),IFERROR(AVERAGEIFS('Daily Log'!$E$2:$E$500,'Daily Log'!$B$2:$B$500,$A65,'Daily Log'!$F$2:$F$500,"Net India",'Daily Log'!$D$2:$D$500,D65,'Daily Log'!$H$2:$H$500,"Producer-reported"),"")))</f>
        <v/>
      </c>
      <c r="G65" s="17" t="str">
        <f aca="false">IF(OR(E65="",F65=""),"",IF(E65=0,"",F65/E65-1))</f>
        <v/>
      </c>
      <c r="H65" s="16" t="str">
        <f aca="false">IF(OR(A65="",D65=""),"",IFERROR(AVERAGEIFS('Daily Log'!$E$2:$E$500,'Daily Log'!$B$2:$B$500,$A65,'Daily Log'!$F$2:$F$500,"Net India",'Daily Log'!$D$2:$D$500,D65,'Daily Log'!$H$2:$H$500,"Trade estimate"),""))</f>
        <v/>
      </c>
      <c r="I65" s="17" t="str">
        <f aca="false">IF(A65="","",IF(COUNTIFS('Daily Log'!$B$2:$B$500,$A65,'Daily Log'!$F$2:$F$500,"Net India",'Daily Log'!$H$2:$H$500,"Trade estimate",'Daily Log'!$J$2:$J$500,"&gt;=2")=0,"",AVERAGEIFS('Daily Log'!$M$2:$M$500,'Daily Log'!$B$2:$B$500,$A65,'Daily Log'!$F$2:$F$500,"Net India",'Daily Log'!$H$2:$H$500,"Trade estimate",'Daily Log'!$J$2:$J$500,"&gt;=2")))</f>
        <v/>
      </c>
      <c r="J65" s="17" t="str">
        <f aca="false">IF(I65="","",_xlfn.MAXIFS('Daily Log'!$M$2:$M$500,'Daily Log'!$B$2:$B$500,$A65,'Daily Log'!$F$2:$F$500,"Net India",'Daily Log'!$H$2:$H$500,"Trade estimate",'Daily Log'!$J$2:$J$500,"&gt;=2"))</f>
        <v/>
      </c>
      <c r="K65" s="18" t="str">
        <f aca="false">IF(A65="","",IF(I65="","Needs 2+ trade sources",IF(I65&lt;=Lists!$E$6,"Good",IF(I65&lt;=Lists!$E$2,"Moderate","Bad"))))</f>
        <v/>
      </c>
      <c r="L65" s="18" t="str">
        <f aca="false">IF(OR(A65="",G65=""),"",IF(ABS(G65)&lt;=Lists!$E$6,"Good (Aligned)",IF(ABS(G65)&lt;=Lists!$E$2,"Moderate Gap","Bad (Inflated)")))</f>
        <v/>
      </c>
    </row>
    <row r="66" customFormat="false" ht="14.25" hidden="false" customHeight="true" outlineLevel="0" collapsed="false">
      <c r="A66" s="14" t="str">
        <f aca="false">IF(Films!A66="","",Films!A66)</f>
        <v/>
      </c>
      <c r="B66" s="14" t="str">
        <f aca="false">IF(A66="","",Films!B66)</f>
        <v/>
      </c>
      <c r="C66" s="15" t="str">
        <f aca="false">IF(A66="","",Films!C66)</f>
        <v/>
      </c>
      <c r="D66" s="14" t="str">
        <f aca="false">IF(A66="","",IF(COUNTIFS('Daily Log'!$B$2:$B$500,A66)=0,"",_xlfn.MAXIFS('Daily Log'!$D$2:$D$500,'Daily Log'!$B$2:$B$500,A66)))</f>
        <v/>
      </c>
      <c r="E66" s="16" t="str">
        <f aca="false">IF(A66="","",IFERROR(AVERAGEIFS('Daily Log'!$E$2:$E$500,'Daily Log'!$B$2:$B$500,$A66,'Daily Log'!$F$2:$F$500,"Net India",'Daily Log'!$D$2:$D$500,1,'Daily Log'!$H$2:$H$500,"Trade estimate"),IFERROR(AVERAGEIFS('Daily Log'!$E$2:$E$500,'Daily Log'!$B$2:$B$500,$A66,'Daily Log'!$F$2:$F$500,"Net India",'Daily Log'!$D$2:$D$500,D66,'Daily Log'!$H$2:$H$500,"Trade estimate"),"")))</f>
        <v/>
      </c>
      <c r="F66" s="16" t="str">
        <f aca="false">IF(A66="","",IFERROR(AVERAGEIFS('Daily Log'!$E$2:$E$500,'Daily Log'!$B$2:$B$500,$A66,'Daily Log'!$F$2:$F$500,"Net India",'Daily Log'!$D$2:$D$500,1,'Daily Log'!$H$2:$H$500,"Producer-reported"),IFERROR(AVERAGEIFS('Daily Log'!$E$2:$E$500,'Daily Log'!$B$2:$B$500,$A66,'Daily Log'!$F$2:$F$500,"Net India",'Daily Log'!$D$2:$D$500,D66,'Daily Log'!$H$2:$H$500,"Producer-reported"),"")))</f>
        <v/>
      </c>
      <c r="G66" s="17" t="str">
        <f aca="false">IF(OR(E66="",F66=""),"",IF(E66=0,"",F66/E66-1))</f>
        <v/>
      </c>
      <c r="H66" s="16" t="str">
        <f aca="false">IF(OR(A66="",D66=""),"",IFERROR(AVERAGEIFS('Daily Log'!$E$2:$E$500,'Daily Log'!$B$2:$B$500,$A66,'Daily Log'!$F$2:$F$500,"Net India",'Daily Log'!$D$2:$D$500,D66,'Daily Log'!$H$2:$H$500,"Trade estimate"),""))</f>
        <v/>
      </c>
      <c r="I66" s="17" t="str">
        <f aca="false">IF(A66="","",IF(COUNTIFS('Daily Log'!$B$2:$B$500,$A66,'Daily Log'!$F$2:$F$500,"Net India",'Daily Log'!$H$2:$H$500,"Trade estimate",'Daily Log'!$J$2:$J$500,"&gt;=2")=0,"",AVERAGEIFS('Daily Log'!$M$2:$M$500,'Daily Log'!$B$2:$B$500,$A66,'Daily Log'!$F$2:$F$500,"Net India",'Daily Log'!$H$2:$H$500,"Trade estimate",'Daily Log'!$J$2:$J$500,"&gt;=2")))</f>
        <v/>
      </c>
      <c r="J66" s="17" t="str">
        <f aca="false">IF(I66="","",_xlfn.MAXIFS('Daily Log'!$M$2:$M$500,'Daily Log'!$B$2:$B$500,$A66,'Daily Log'!$F$2:$F$500,"Net India",'Daily Log'!$H$2:$H$500,"Trade estimate",'Daily Log'!$J$2:$J$500,"&gt;=2"))</f>
        <v/>
      </c>
      <c r="K66" s="18" t="str">
        <f aca="false">IF(A66="","",IF(I66="","Needs 2+ trade sources",IF(I66&lt;=Lists!$E$6,"Good",IF(I66&lt;=Lists!$E$2,"Moderate","Bad"))))</f>
        <v/>
      </c>
      <c r="L66" s="18" t="str">
        <f aca="false">IF(OR(A66="",G66=""),"",IF(ABS(G66)&lt;=Lists!$E$6,"Good (Aligned)",IF(ABS(G66)&lt;=Lists!$E$2,"Moderate Gap","Bad (Inflated)")))</f>
        <v/>
      </c>
    </row>
    <row r="67" customFormat="false" ht="14.25" hidden="false" customHeight="true" outlineLevel="0" collapsed="false">
      <c r="A67" s="14" t="str">
        <f aca="false">IF(Films!A67="","",Films!A67)</f>
        <v/>
      </c>
      <c r="B67" s="14" t="str">
        <f aca="false">IF(A67="","",Films!B67)</f>
        <v/>
      </c>
      <c r="C67" s="15" t="str">
        <f aca="false">IF(A67="","",Films!C67)</f>
        <v/>
      </c>
      <c r="D67" s="14" t="str">
        <f aca="false">IF(A67="","",IF(COUNTIFS('Daily Log'!$B$2:$B$500,A67)=0,"",_xlfn.MAXIFS('Daily Log'!$D$2:$D$500,'Daily Log'!$B$2:$B$500,A67)))</f>
        <v/>
      </c>
      <c r="E67" s="16" t="str">
        <f aca="false">IF(A67="","",IFERROR(AVERAGEIFS('Daily Log'!$E$2:$E$500,'Daily Log'!$B$2:$B$500,$A67,'Daily Log'!$F$2:$F$500,"Net India",'Daily Log'!$D$2:$D$500,1,'Daily Log'!$H$2:$H$500,"Trade estimate"),IFERROR(AVERAGEIFS('Daily Log'!$E$2:$E$500,'Daily Log'!$B$2:$B$500,$A67,'Daily Log'!$F$2:$F$500,"Net India",'Daily Log'!$D$2:$D$500,D67,'Daily Log'!$H$2:$H$500,"Trade estimate"),"")))</f>
        <v/>
      </c>
      <c r="F67" s="16" t="str">
        <f aca="false">IF(A67="","",IFERROR(AVERAGEIFS('Daily Log'!$E$2:$E$500,'Daily Log'!$B$2:$B$500,$A67,'Daily Log'!$F$2:$F$500,"Net India",'Daily Log'!$D$2:$D$500,1,'Daily Log'!$H$2:$H$500,"Producer-reported"),IFERROR(AVERAGEIFS('Daily Log'!$E$2:$E$500,'Daily Log'!$B$2:$B$500,$A67,'Daily Log'!$F$2:$F$500,"Net India",'Daily Log'!$D$2:$D$500,D67,'Daily Log'!$H$2:$H$500,"Producer-reported"),"")))</f>
        <v/>
      </c>
      <c r="G67" s="17" t="str">
        <f aca="false">IF(OR(E67="",F67=""),"",IF(E67=0,"",F67/E67-1))</f>
        <v/>
      </c>
      <c r="H67" s="16" t="str">
        <f aca="false">IF(OR(A67="",D67=""),"",IFERROR(AVERAGEIFS('Daily Log'!$E$2:$E$500,'Daily Log'!$B$2:$B$500,$A67,'Daily Log'!$F$2:$F$500,"Net India",'Daily Log'!$D$2:$D$500,D67,'Daily Log'!$H$2:$H$500,"Trade estimate"),""))</f>
        <v/>
      </c>
      <c r="I67" s="17" t="str">
        <f aca="false">IF(A67="","",IF(COUNTIFS('Daily Log'!$B$2:$B$500,$A67,'Daily Log'!$F$2:$F$500,"Net India",'Daily Log'!$H$2:$H$500,"Trade estimate",'Daily Log'!$J$2:$J$500,"&gt;=2")=0,"",AVERAGEIFS('Daily Log'!$M$2:$M$500,'Daily Log'!$B$2:$B$500,$A67,'Daily Log'!$F$2:$F$500,"Net India",'Daily Log'!$H$2:$H$500,"Trade estimate",'Daily Log'!$J$2:$J$500,"&gt;=2")))</f>
        <v/>
      </c>
      <c r="J67" s="17" t="str">
        <f aca="false">IF(I67="","",_xlfn.MAXIFS('Daily Log'!$M$2:$M$500,'Daily Log'!$B$2:$B$500,$A67,'Daily Log'!$F$2:$F$500,"Net India",'Daily Log'!$H$2:$H$500,"Trade estimate",'Daily Log'!$J$2:$J$500,"&gt;=2"))</f>
        <v/>
      </c>
      <c r="K67" s="18" t="str">
        <f aca="false">IF(A67="","",IF(I67="","Needs 2+ trade sources",IF(I67&lt;=Lists!$E$6,"Good",IF(I67&lt;=Lists!$E$2,"Moderate","Bad"))))</f>
        <v/>
      </c>
      <c r="L67" s="18" t="str">
        <f aca="false">IF(OR(A67="",G67=""),"",IF(ABS(G67)&lt;=Lists!$E$6,"Good (Aligned)",IF(ABS(G67)&lt;=Lists!$E$2,"Moderate Gap","Bad (Inflated)")))</f>
        <v/>
      </c>
    </row>
    <row r="68" customFormat="false" ht="14.25" hidden="false" customHeight="true" outlineLevel="0" collapsed="false">
      <c r="A68" s="14" t="str">
        <f aca="false">IF(Films!A68="","",Films!A68)</f>
        <v/>
      </c>
      <c r="B68" s="14" t="str">
        <f aca="false">IF(A68="","",Films!B68)</f>
        <v/>
      </c>
      <c r="C68" s="15" t="str">
        <f aca="false">IF(A68="","",Films!C68)</f>
        <v/>
      </c>
      <c r="D68" s="14" t="str">
        <f aca="false">IF(A68="","",IF(COUNTIFS('Daily Log'!$B$2:$B$500,A68)=0,"",_xlfn.MAXIFS('Daily Log'!$D$2:$D$500,'Daily Log'!$B$2:$B$500,A68)))</f>
        <v/>
      </c>
      <c r="E68" s="16" t="str">
        <f aca="false">IF(A68="","",IFERROR(AVERAGEIFS('Daily Log'!$E$2:$E$500,'Daily Log'!$B$2:$B$500,$A68,'Daily Log'!$F$2:$F$500,"Net India",'Daily Log'!$D$2:$D$500,1,'Daily Log'!$H$2:$H$500,"Trade estimate"),IFERROR(AVERAGEIFS('Daily Log'!$E$2:$E$500,'Daily Log'!$B$2:$B$500,$A68,'Daily Log'!$F$2:$F$500,"Net India",'Daily Log'!$D$2:$D$500,D68,'Daily Log'!$H$2:$H$500,"Trade estimate"),"")))</f>
        <v/>
      </c>
      <c r="F68" s="16" t="str">
        <f aca="false">IF(A68="","",IFERROR(AVERAGEIFS('Daily Log'!$E$2:$E$500,'Daily Log'!$B$2:$B$500,$A68,'Daily Log'!$F$2:$F$500,"Net India",'Daily Log'!$D$2:$D$500,1,'Daily Log'!$H$2:$H$500,"Producer-reported"),IFERROR(AVERAGEIFS('Daily Log'!$E$2:$E$500,'Daily Log'!$B$2:$B$500,$A68,'Daily Log'!$F$2:$F$500,"Net India",'Daily Log'!$D$2:$D$500,D68,'Daily Log'!$H$2:$H$500,"Producer-reported"),"")))</f>
        <v/>
      </c>
      <c r="G68" s="17" t="str">
        <f aca="false">IF(OR(E68="",F68=""),"",IF(E68=0,"",F68/E68-1))</f>
        <v/>
      </c>
      <c r="H68" s="16" t="str">
        <f aca="false">IF(OR(A68="",D68=""),"",IFERROR(AVERAGEIFS('Daily Log'!$E$2:$E$500,'Daily Log'!$B$2:$B$500,$A68,'Daily Log'!$F$2:$F$500,"Net India",'Daily Log'!$D$2:$D$500,D68,'Daily Log'!$H$2:$H$500,"Trade estimate"),""))</f>
        <v/>
      </c>
      <c r="I68" s="17" t="str">
        <f aca="false">IF(A68="","",IF(COUNTIFS('Daily Log'!$B$2:$B$500,$A68,'Daily Log'!$F$2:$F$500,"Net India",'Daily Log'!$H$2:$H$500,"Trade estimate",'Daily Log'!$J$2:$J$500,"&gt;=2")=0,"",AVERAGEIFS('Daily Log'!$M$2:$M$500,'Daily Log'!$B$2:$B$500,$A68,'Daily Log'!$F$2:$F$500,"Net India",'Daily Log'!$H$2:$H$500,"Trade estimate",'Daily Log'!$J$2:$J$500,"&gt;=2")))</f>
        <v/>
      </c>
      <c r="J68" s="17" t="str">
        <f aca="false">IF(I68="","",_xlfn.MAXIFS('Daily Log'!$M$2:$M$500,'Daily Log'!$B$2:$B$500,$A68,'Daily Log'!$F$2:$F$500,"Net India",'Daily Log'!$H$2:$H$500,"Trade estimate",'Daily Log'!$J$2:$J$500,"&gt;=2"))</f>
        <v/>
      </c>
      <c r="K68" s="18" t="str">
        <f aca="false">IF(A68="","",IF(I68="","Needs 2+ trade sources",IF(I68&lt;=Lists!$E$6,"Good",IF(I68&lt;=Lists!$E$2,"Moderate","Bad"))))</f>
        <v/>
      </c>
      <c r="L68" s="18" t="str">
        <f aca="false">IF(OR(A68="",G68=""),"",IF(ABS(G68)&lt;=Lists!$E$6,"Good (Aligned)",IF(ABS(G68)&lt;=Lists!$E$2,"Moderate Gap","Bad (Inflated)")))</f>
        <v/>
      </c>
    </row>
    <row r="69" customFormat="false" ht="14.25" hidden="false" customHeight="true" outlineLevel="0" collapsed="false">
      <c r="A69" s="14" t="str">
        <f aca="false">IF(Films!A69="","",Films!A69)</f>
        <v/>
      </c>
      <c r="B69" s="14" t="str">
        <f aca="false">IF(A69="","",Films!B69)</f>
        <v/>
      </c>
      <c r="C69" s="15" t="str">
        <f aca="false">IF(A69="","",Films!C69)</f>
        <v/>
      </c>
      <c r="D69" s="14" t="str">
        <f aca="false">IF(A69="","",IF(COUNTIFS('Daily Log'!$B$2:$B$500,A69)=0,"",_xlfn.MAXIFS('Daily Log'!$D$2:$D$500,'Daily Log'!$B$2:$B$500,A69)))</f>
        <v/>
      </c>
      <c r="E69" s="16" t="str">
        <f aca="false">IF(A69="","",IFERROR(AVERAGEIFS('Daily Log'!$E$2:$E$500,'Daily Log'!$B$2:$B$500,$A69,'Daily Log'!$F$2:$F$500,"Net India",'Daily Log'!$D$2:$D$500,1,'Daily Log'!$H$2:$H$500,"Trade estimate"),IFERROR(AVERAGEIFS('Daily Log'!$E$2:$E$500,'Daily Log'!$B$2:$B$500,$A69,'Daily Log'!$F$2:$F$500,"Net India",'Daily Log'!$D$2:$D$500,D69,'Daily Log'!$H$2:$H$500,"Trade estimate"),"")))</f>
        <v/>
      </c>
      <c r="F69" s="16" t="str">
        <f aca="false">IF(A69="","",IFERROR(AVERAGEIFS('Daily Log'!$E$2:$E$500,'Daily Log'!$B$2:$B$500,$A69,'Daily Log'!$F$2:$F$500,"Net India",'Daily Log'!$D$2:$D$500,1,'Daily Log'!$H$2:$H$500,"Producer-reported"),IFERROR(AVERAGEIFS('Daily Log'!$E$2:$E$500,'Daily Log'!$B$2:$B$500,$A69,'Daily Log'!$F$2:$F$500,"Net India",'Daily Log'!$D$2:$D$500,D69,'Daily Log'!$H$2:$H$500,"Producer-reported"),"")))</f>
        <v/>
      </c>
      <c r="G69" s="17" t="str">
        <f aca="false">IF(OR(E69="",F69=""),"",IF(E69=0,"",F69/E69-1))</f>
        <v/>
      </c>
      <c r="H69" s="16" t="str">
        <f aca="false">IF(OR(A69="",D69=""),"",IFERROR(AVERAGEIFS('Daily Log'!$E$2:$E$500,'Daily Log'!$B$2:$B$500,$A69,'Daily Log'!$F$2:$F$500,"Net India",'Daily Log'!$D$2:$D$500,D69,'Daily Log'!$H$2:$H$500,"Trade estimate"),""))</f>
        <v/>
      </c>
      <c r="I69" s="17" t="str">
        <f aca="false">IF(A69="","",IF(COUNTIFS('Daily Log'!$B$2:$B$500,$A69,'Daily Log'!$F$2:$F$500,"Net India",'Daily Log'!$H$2:$H$500,"Trade estimate",'Daily Log'!$J$2:$J$500,"&gt;=2")=0,"",AVERAGEIFS('Daily Log'!$M$2:$M$500,'Daily Log'!$B$2:$B$500,$A69,'Daily Log'!$F$2:$F$500,"Net India",'Daily Log'!$H$2:$H$500,"Trade estimate",'Daily Log'!$J$2:$J$500,"&gt;=2")))</f>
        <v/>
      </c>
      <c r="J69" s="17" t="str">
        <f aca="false">IF(I69="","",_xlfn.MAXIFS('Daily Log'!$M$2:$M$500,'Daily Log'!$B$2:$B$500,$A69,'Daily Log'!$F$2:$F$500,"Net India",'Daily Log'!$H$2:$H$500,"Trade estimate",'Daily Log'!$J$2:$J$500,"&gt;=2"))</f>
        <v/>
      </c>
      <c r="K69" s="18" t="str">
        <f aca="false">IF(A69="","",IF(I69="","Needs 2+ trade sources",IF(I69&lt;=Lists!$E$6,"Good",IF(I69&lt;=Lists!$E$2,"Moderate","Bad"))))</f>
        <v/>
      </c>
      <c r="L69" s="18" t="str">
        <f aca="false">IF(OR(A69="",G69=""),"",IF(ABS(G69)&lt;=Lists!$E$6,"Good (Aligned)",IF(ABS(G69)&lt;=Lists!$E$2,"Moderate Gap","Bad (Inflated)")))</f>
        <v/>
      </c>
    </row>
    <row r="70" customFormat="false" ht="14.25" hidden="false" customHeight="true" outlineLevel="0" collapsed="false">
      <c r="A70" s="14" t="str">
        <f aca="false">IF(Films!A70="","",Films!A70)</f>
        <v/>
      </c>
      <c r="B70" s="14" t="str">
        <f aca="false">IF(A70="","",Films!B70)</f>
        <v/>
      </c>
      <c r="C70" s="15" t="str">
        <f aca="false">IF(A70="","",Films!C70)</f>
        <v/>
      </c>
      <c r="D70" s="14" t="str">
        <f aca="false">IF(A70="","",IF(COUNTIFS('Daily Log'!$B$2:$B$500,A70)=0,"",_xlfn.MAXIFS('Daily Log'!$D$2:$D$500,'Daily Log'!$B$2:$B$500,A70)))</f>
        <v/>
      </c>
      <c r="E70" s="16" t="str">
        <f aca="false">IF(A70="","",IFERROR(AVERAGEIFS('Daily Log'!$E$2:$E$500,'Daily Log'!$B$2:$B$500,$A70,'Daily Log'!$F$2:$F$500,"Net India",'Daily Log'!$D$2:$D$500,1,'Daily Log'!$H$2:$H$500,"Trade estimate"),IFERROR(AVERAGEIFS('Daily Log'!$E$2:$E$500,'Daily Log'!$B$2:$B$500,$A70,'Daily Log'!$F$2:$F$500,"Net India",'Daily Log'!$D$2:$D$500,D70,'Daily Log'!$H$2:$H$500,"Trade estimate"),"")))</f>
        <v/>
      </c>
      <c r="F70" s="16" t="str">
        <f aca="false">IF(A70="","",IFERROR(AVERAGEIFS('Daily Log'!$E$2:$E$500,'Daily Log'!$B$2:$B$500,$A70,'Daily Log'!$F$2:$F$500,"Net India",'Daily Log'!$D$2:$D$500,1,'Daily Log'!$H$2:$H$500,"Producer-reported"),IFERROR(AVERAGEIFS('Daily Log'!$E$2:$E$500,'Daily Log'!$B$2:$B$500,$A70,'Daily Log'!$F$2:$F$500,"Net India",'Daily Log'!$D$2:$D$500,D70,'Daily Log'!$H$2:$H$500,"Producer-reported"),"")))</f>
        <v/>
      </c>
      <c r="G70" s="17" t="str">
        <f aca="false">IF(OR(E70="",F70=""),"",IF(E70=0,"",F70/E70-1))</f>
        <v/>
      </c>
      <c r="H70" s="16" t="str">
        <f aca="false">IF(OR(A70="",D70=""),"",IFERROR(AVERAGEIFS('Daily Log'!$E$2:$E$500,'Daily Log'!$B$2:$B$500,$A70,'Daily Log'!$F$2:$F$500,"Net India",'Daily Log'!$D$2:$D$500,D70,'Daily Log'!$H$2:$H$500,"Trade estimate"),""))</f>
        <v/>
      </c>
      <c r="I70" s="17" t="str">
        <f aca="false">IF(A70="","",IF(COUNTIFS('Daily Log'!$B$2:$B$500,$A70,'Daily Log'!$F$2:$F$500,"Net India",'Daily Log'!$H$2:$H$500,"Trade estimate",'Daily Log'!$J$2:$J$500,"&gt;=2")=0,"",AVERAGEIFS('Daily Log'!$M$2:$M$500,'Daily Log'!$B$2:$B$500,$A70,'Daily Log'!$F$2:$F$500,"Net India",'Daily Log'!$H$2:$H$500,"Trade estimate",'Daily Log'!$J$2:$J$500,"&gt;=2")))</f>
        <v/>
      </c>
      <c r="J70" s="17" t="str">
        <f aca="false">IF(I70="","",_xlfn.MAXIFS('Daily Log'!$M$2:$M$500,'Daily Log'!$B$2:$B$500,$A70,'Daily Log'!$F$2:$F$500,"Net India",'Daily Log'!$H$2:$H$500,"Trade estimate",'Daily Log'!$J$2:$J$500,"&gt;=2"))</f>
        <v/>
      </c>
      <c r="K70" s="18" t="str">
        <f aca="false">IF(A70="","",IF(I70="","Needs 2+ trade sources",IF(I70&lt;=Lists!$E$6,"Good",IF(I70&lt;=Lists!$E$2,"Moderate","Bad"))))</f>
        <v/>
      </c>
      <c r="L70" s="18" t="str">
        <f aca="false">IF(OR(A70="",G70=""),"",IF(ABS(G70)&lt;=Lists!$E$6,"Good (Aligned)",IF(ABS(G70)&lt;=Lists!$E$2,"Moderate Gap","Bad (Inflated)")))</f>
        <v/>
      </c>
    </row>
    <row r="71" customFormat="false" ht="14.25" hidden="false" customHeight="true" outlineLevel="0" collapsed="false">
      <c r="A71" s="14" t="str">
        <f aca="false">IF(Films!A71="","",Films!A71)</f>
        <v/>
      </c>
      <c r="B71" s="14" t="str">
        <f aca="false">IF(A71="","",Films!B71)</f>
        <v/>
      </c>
      <c r="C71" s="15" t="str">
        <f aca="false">IF(A71="","",Films!C71)</f>
        <v/>
      </c>
      <c r="D71" s="14" t="str">
        <f aca="false">IF(A71="","",IF(COUNTIFS('Daily Log'!$B$2:$B$500,A71)=0,"",_xlfn.MAXIFS('Daily Log'!$D$2:$D$500,'Daily Log'!$B$2:$B$500,A71)))</f>
        <v/>
      </c>
      <c r="E71" s="16" t="str">
        <f aca="false">IF(A71="","",IFERROR(AVERAGEIFS('Daily Log'!$E$2:$E$500,'Daily Log'!$B$2:$B$500,$A71,'Daily Log'!$F$2:$F$500,"Net India",'Daily Log'!$D$2:$D$500,1,'Daily Log'!$H$2:$H$500,"Trade estimate"),IFERROR(AVERAGEIFS('Daily Log'!$E$2:$E$500,'Daily Log'!$B$2:$B$500,$A71,'Daily Log'!$F$2:$F$500,"Net India",'Daily Log'!$D$2:$D$500,D71,'Daily Log'!$H$2:$H$500,"Trade estimate"),"")))</f>
        <v/>
      </c>
      <c r="F71" s="16" t="str">
        <f aca="false">IF(A71="","",IFERROR(AVERAGEIFS('Daily Log'!$E$2:$E$500,'Daily Log'!$B$2:$B$500,$A71,'Daily Log'!$F$2:$F$500,"Net India",'Daily Log'!$D$2:$D$500,1,'Daily Log'!$H$2:$H$500,"Producer-reported"),IFERROR(AVERAGEIFS('Daily Log'!$E$2:$E$500,'Daily Log'!$B$2:$B$500,$A71,'Daily Log'!$F$2:$F$500,"Net India",'Daily Log'!$D$2:$D$500,D71,'Daily Log'!$H$2:$H$500,"Producer-reported"),"")))</f>
        <v/>
      </c>
      <c r="G71" s="17" t="str">
        <f aca="false">IF(OR(E71="",F71=""),"",IF(E71=0,"",F71/E71-1))</f>
        <v/>
      </c>
      <c r="H71" s="16" t="str">
        <f aca="false">IF(OR(A71="",D71=""),"",IFERROR(AVERAGEIFS('Daily Log'!$E$2:$E$500,'Daily Log'!$B$2:$B$500,$A71,'Daily Log'!$F$2:$F$500,"Net India",'Daily Log'!$D$2:$D$500,D71,'Daily Log'!$H$2:$H$500,"Trade estimate"),""))</f>
        <v/>
      </c>
      <c r="I71" s="17" t="str">
        <f aca="false">IF(A71="","",IF(COUNTIFS('Daily Log'!$B$2:$B$500,$A71,'Daily Log'!$F$2:$F$500,"Net India",'Daily Log'!$H$2:$H$500,"Trade estimate",'Daily Log'!$J$2:$J$500,"&gt;=2")=0,"",AVERAGEIFS('Daily Log'!$M$2:$M$500,'Daily Log'!$B$2:$B$500,$A71,'Daily Log'!$F$2:$F$500,"Net India",'Daily Log'!$H$2:$H$500,"Trade estimate",'Daily Log'!$J$2:$J$500,"&gt;=2")))</f>
        <v/>
      </c>
      <c r="J71" s="17" t="str">
        <f aca="false">IF(I71="","",_xlfn.MAXIFS('Daily Log'!$M$2:$M$500,'Daily Log'!$B$2:$B$500,$A71,'Daily Log'!$F$2:$F$500,"Net India",'Daily Log'!$H$2:$H$500,"Trade estimate",'Daily Log'!$J$2:$J$500,"&gt;=2"))</f>
        <v/>
      </c>
      <c r="K71" s="18" t="str">
        <f aca="false">IF(A71="","",IF(I71="","Needs 2+ trade sources",IF(I71&lt;=Lists!$E$6,"Good",IF(I71&lt;=Lists!$E$2,"Moderate","Bad"))))</f>
        <v/>
      </c>
      <c r="L71" s="18" t="str">
        <f aca="false">IF(OR(A71="",G71=""),"",IF(ABS(G71)&lt;=Lists!$E$6,"Good (Aligned)",IF(ABS(G71)&lt;=Lists!$E$2,"Moderate Gap","Bad (Inflated)")))</f>
        <v/>
      </c>
    </row>
    <row r="72" customFormat="false" ht="14.25" hidden="false" customHeight="true" outlineLevel="0" collapsed="false">
      <c r="A72" s="14" t="str">
        <f aca="false">IF(Films!A72="","",Films!A72)</f>
        <v/>
      </c>
      <c r="B72" s="14" t="str">
        <f aca="false">IF(A72="","",Films!B72)</f>
        <v/>
      </c>
      <c r="C72" s="15" t="str">
        <f aca="false">IF(A72="","",Films!C72)</f>
        <v/>
      </c>
      <c r="D72" s="14" t="str">
        <f aca="false">IF(A72="","",IF(COUNTIFS('Daily Log'!$B$2:$B$500,A72)=0,"",_xlfn.MAXIFS('Daily Log'!$D$2:$D$500,'Daily Log'!$B$2:$B$500,A72)))</f>
        <v/>
      </c>
      <c r="E72" s="16" t="str">
        <f aca="false">IF(A72="","",IFERROR(AVERAGEIFS('Daily Log'!$E$2:$E$500,'Daily Log'!$B$2:$B$500,$A72,'Daily Log'!$F$2:$F$500,"Net India",'Daily Log'!$D$2:$D$500,1,'Daily Log'!$H$2:$H$500,"Trade estimate"),IFERROR(AVERAGEIFS('Daily Log'!$E$2:$E$500,'Daily Log'!$B$2:$B$500,$A72,'Daily Log'!$F$2:$F$500,"Net India",'Daily Log'!$D$2:$D$500,D72,'Daily Log'!$H$2:$H$500,"Trade estimate"),"")))</f>
        <v/>
      </c>
      <c r="F72" s="16" t="str">
        <f aca="false">IF(A72="","",IFERROR(AVERAGEIFS('Daily Log'!$E$2:$E$500,'Daily Log'!$B$2:$B$500,$A72,'Daily Log'!$F$2:$F$500,"Net India",'Daily Log'!$D$2:$D$500,1,'Daily Log'!$H$2:$H$500,"Producer-reported"),IFERROR(AVERAGEIFS('Daily Log'!$E$2:$E$500,'Daily Log'!$B$2:$B$500,$A72,'Daily Log'!$F$2:$F$500,"Net India",'Daily Log'!$D$2:$D$500,D72,'Daily Log'!$H$2:$H$500,"Producer-reported"),"")))</f>
        <v/>
      </c>
      <c r="G72" s="17" t="str">
        <f aca="false">IF(OR(E72="",F72=""),"",IF(E72=0,"",F72/E72-1))</f>
        <v/>
      </c>
      <c r="H72" s="16" t="str">
        <f aca="false">IF(OR(A72="",D72=""),"",IFERROR(AVERAGEIFS('Daily Log'!$E$2:$E$500,'Daily Log'!$B$2:$B$500,$A72,'Daily Log'!$F$2:$F$500,"Net India",'Daily Log'!$D$2:$D$500,D72,'Daily Log'!$H$2:$H$500,"Trade estimate"),""))</f>
        <v/>
      </c>
      <c r="I72" s="17" t="str">
        <f aca="false">IF(A72="","",IF(COUNTIFS('Daily Log'!$B$2:$B$500,$A72,'Daily Log'!$F$2:$F$500,"Net India",'Daily Log'!$H$2:$H$500,"Trade estimate",'Daily Log'!$J$2:$J$500,"&gt;=2")=0,"",AVERAGEIFS('Daily Log'!$M$2:$M$500,'Daily Log'!$B$2:$B$500,$A72,'Daily Log'!$F$2:$F$500,"Net India",'Daily Log'!$H$2:$H$500,"Trade estimate",'Daily Log'!$J$2:$J$500,"&gt;=2")))</f>
        <v/>
      </c>
      <c r="J72" s="17" t="str">
        <f aca="false">IF(I72="","",_xlfn.MAXIFS('Daily Log'!$M$2:$M$500,'Daily Log'!$B$2:$B$500,$A72,'Daily Log'!$F$2:$F$500,"Net India",'Daily Log'!$H$2:$H$500,"Trade estimate",'Daily Log'!$J$2:$J$500,"&gt;=2"))</f>
        <v/>
      </c>
      <c r="K72" s="18" t="str">
        <f aca="false">IF(A72="","",IF(I72="","Needs 2+ trade sources",IF(I72&lt;=Lists!$E$6,"Good",IF(I72&lt;=Lists!$E$2,"Moderate","Bad"))))</f>
        <v/>
      </c>
      <c r="L72" s="18" t="str">
        <f aca="false">IF(OR(A72="",G72=""),"",IF(ABS(G72)&lt;=Lists!$E$6,"Good (Aligned)",IF(ABS(G72)&lt;=Lists!$E$2,"Moderate Gap","Bad (Inflated)")))</f>
        <v/>
      </c>
    </row>
    <row r="73" customFormat="false" ht="14.25" hidden="false" customHeight="true" outlineLevel="0" collapsed="false">
      <c r="A73" s="14" t="str">
        <f aca="false">IF(Films!A73="","",Films!A73)</f>
        <v/>
      </c>
      <c r="B73" s="14" t="str">
        <f aca="false">IF(A73="","",Films!B73)</f>
        <v/>
      </c>
      <c r="C73" s="15" t="str">
        <f aca="false">IF(A73="","",Films!C73)</f>
        <v/>
      </c>
      <c r="D73" s="14" t="str">
        <f aca="false">IF(A73="","",IF(COUNTIFS('Daily Log'!$B$2:$B$500,A73)=0,"",_xlfn.MAXIFS('Daily Log'!$D$2:$D$500,'Daily Log'!$B$2:$B$500,A73)))</f>
        <v/>
      </c>
      <c r="E73" s="16" t="str">
        <f aca="false">IF(A73="","",IFERROR(AVERAGEIFS('Daily Log'!$E$2:$E$500,'Daily Log'!$B$2:$B$500,$A73,'Daily Log'!$F$2:$F$500,"Net India",'Daily Log'!$D$2:$D$500,1,'Daily Log'!$H$2:$H$500,"Trade estimate"),IFERROR(AVERAGEIFS('Daily Log'!$E$2:$E$500,'Daily Log'!$B$2:$B$500,$A73,'Daily Log'!$F$2:$F$500,"Net India",'Daily Log'!$D$2:$D$500,D73,'Daily Log'!$H$2:$H$500,"Trade estimate"),"")))</f>
        <v/>
      </c>
      <c r="F73" s="16" t="str">
        <f aca="false">IF(A73="","",IFERROR(AVERAGEIFS('Daily Log'!$E$2:$E$500,'Daily Log'!$B$2:$B$500,$A73,'Daily Log'!$F$2:$F$500,"Net India",'Daily Log'!$D$2:$D$500,1,'Daily Log'!$H$2:$H$500,"Producer-reported"),IFERROR(AVERAGEIFS('Daily Log'!$E$2:$E$500,'Daily Log'!$B$2:$B$500,$A73,'Daily Log'!$F$2:$F$500,"Net India",'Daily Log'!$D$2:$D$500,D73,'Daily Log'!$H$2:$H$500,"Producer-reported"),"")))</f>
        <v/>
      </c>
      <c r="G73" s="17" t="str">
        <f aca="false">IF(OR(E73="",F73=""),"",IF(E73=0,"",F73/E73-1))</f>
        <v/>
      </c>
      <c r="H73" s="16" t="str">
        <f aca="false">IF(OR(A73="",D73=""),"",IFERROR(AVERAGEIFS('Daily Log'!$E$2:$E$500,'Daily Log'!$B$2:$B$500,$A73,'Daily Log'!$F$2:$F$500,"Net India",'Daily Log'!$D$2:$D$500,D73,'Daily Log'!$H$2:$H$500,"Trade estimate"),""))</f>
        <v/>
      </c>
      <c r="I73" s="17" t="str">
        <f aca="false">IF(A73="","",IF(COUNTIFS('Daily Log'!$B$2:$B$500,$A73,'Daily Log'!$F$2:$F$500,"Net India",'Daily Log'!$H$2:$H$500,"Trade estimate",'Daily Log'!$J$2:$J$500,"&gt;=2")=0,"",AVERAGEIFS('Daily Log'!$M$2:$M$500,'Daily Log'!$B$2:$B$500,$A73,'Daily Log'!$F$2:$F$500,"Net India",'Daily Log'!$H$2:$H$500,"Trade estimate",'Daily Log'!$J$2:$J$500,"&gt;=2")))</f>
        <v/>
      </c>
      <c r="J73" s="17" t="str">
        <f aca="false">IF(I73="","",_xlfn.MAXIFS('Daily Log'!$M$2:$M$500,'Daily Log'!$B$2:$B$500,$A73,'Daily Log'!$F$2:$F$500,"Net India",'Daily Log'!$H$2:$H$500,"Trade estimate",'Daily Log'!$J$2:$J$500,"&gt;=2"))</f>
        <v/>
      </c>
      <c r="K73" s="18" t="str">
        <f aca="false">IF(A73="","",IF(I73="","Needs 2+ trade sources",IF(I73&lt;=Lists!$E$6,"Good",IF(I73&lt;=Lists!$E$2,"Moderate","Bad"))))</f>
        <v/>
      </c>
      <c r="L73" s="18" t="str">
        <f aca="false">IF(OR(A73="",G73=""),"",IF(ABS(G73)&lt;=Lists!$E$6,"Good (Aligned)",IF(ABS(G73)&lt;=Lists!$E$2,"Moderate Gap","Bad (Inflated)")))</f>
        <v/>
      </c>
    </row>
    <row r="74" customFormat="false" ht="14.25" hidden="false" customHeight="true" outlineLevel="0" collapsed="false">
      <c r="A74" s="14" t="str">
        <f aca="false">IF(Films!A74="","",Films!A74)</f>
        <v/>
      </c>
      <c r="B74" s="14" t="str">
        <f aca="false">IF(A74="","",Films!B74)</f>
        <v/>
      </c>
      <c r="C74" s="15" t="str">
        <f aca="false">IF(A74="","",Films!C74)</f>
        <v/>
      </c>
      <c r="D74" s="14" t="str">
        <f aca="false">IF(A74="","",IF(COUNTIFS('Daily Log'!$B$2:$B$500,A74)=0,"",_xlfn.MAXIFS('Daily Log'!$D$2:$D$500,'Daily Log'!$B$2:$B$500,A74)))</f>
        <v/>
      </c>
      <c r="E74" s="16" t="str">
        <f aca="false">IF(A74="","",IFERROR(AVERAGEIFS('Daily Log'!$E$2:$E$500,'Daily Log'!$B$2:$B$500,$A74,'Daily Log'!$F$2:$F$500,"Net India",'Daily Log'!$D$2:$D$500,1,'Daily Log'!$H$2:$H$500,"Trade estimate"),IFERROR(AVERAGEIFS('Daily Log'!$E$2:$E$500,'Daily Log'!$B$2:$B$500,$A74,'Daily Log'!$F$2:$F$500,"Net India",'Daily Log'!$D$2:$D$500,D74,'Daily Log'!$H$2:$H$500,"Trade estimate"),"")))</f>
        <v/>
      </c>
      <c r="F74" s="16" t="str">
        <f aca="false">IF(A74="","",IFERROR(AVERAGEIFS('Daily Log'!$E$2:$E$500,'Daily Log'!$B$2:$B$500,$A74,'Daily Log'!$F$2:$F$500,"Net India",'Daily Log'!$D$2:$D$500,1,'Daily Log'!$H$2:$H$500,"Producer-reported"),IFERROR(AVERAGEIFS('Daily Log'!$E$2:$E$500,'Daily Log'!$B$2:$B$500,$A74,'Daily Log'!$F$2:$F$500,"Net India",'Daily Log'!$D$2:$D$500,D74,'Daily Log'!$H$2:$H$500,"Producer-reported"),"")))</f>
        <v/>
      </c>
      <c r="G74" s="17" t="str">
        <f aca="false">IF(OR(E74="",F74=""),"",IF(E74=0,"",F74/E74-1))</f>
        <v/>
      </c>
      <c r="H74" s="16" t="str">
        <f aca="false">IF(OR(A74="",D74=""),"",IFERROR(AVERAGEIFS('Daily Log'!$E$2:$E$500,'Daily Log'!$B$2:$B$500,$A74,'Daily Log'!$F$2:$F$500,"Net India",'Daily Log'!$D$2:$D$500,D74,'Daily Log'!$H$2:$H$500,"Trade estimate"),""))</f>
        <v/>
      </c>
      <c r="I74" s="17" t="str">
        <f aca="false">IF(A74="","",IF(COUNTIFS('Daily Log'!$B$2:$B$500,$A74,'Daily Log'!$F$2:$F$500,"Net India",'Daily Log'!$H$2:$H$500,"Trade estimate",'Daily Log'!$J$2:$J$500,"&gt;=2")=0,"",AVERAGEIFS('Daily Log'!$M$2:$M$500,'Daily Log'!$B$2:$B$500,$A74,'Daily Log'!$F$2:$F$500,"Net India",'Daily Log'!$H$2:$H$500,"Trade estimate",'Daily Log'!$J$2:$J$500,"&gt;=2")))</f>
        <v/>
      </c>
      <c r="J74" s="17" t="str">
        <f aca="false">IF(I74="","",_xlfn.MAXIFS('Daily Log'!$M$2:$M$500,'Daily Log'!$B$2:$B$500,$A74,'Daily Log'!$F$2:$F$500,"Net India",'Daily Log'!$H$2:$H$500,"Trade estimate",'Daily Log'!$J$2:$J$500,"&gt;=2"))</f>
        <v/>
      </c>
      <c r="K74" s="18" t="str">
        <f aca="false">IF(A74="","",IF(I74="","Needs 2+ trade sources",IF(I74&lt;=Lists!$E$6,"Good",IF(I74&lt;=Lists!$E$2,"Moderate","Bad"))))</f>
        <v/>
      </c>
      <c r="L74" s="18" t="str">
        <f aca="false">IF(OR(A74="",G74=""),"",IF(ABS(G74)&lt;=Lists!$E$6,"Good (Aligned)",IF(ABS(G74)&lt;=Lists!$E$2,"Moderate Gap","Bad (Inflated)")))</f>
        <v/>
      </c>
    </row>
    <row r="75" customFormat="false" ht="14.25" hidden="false" customHeight="true" outlineLevel="0" collapsed="false">
      <c r="A75" s="14" t="str">
        <f aca="false">IF(Films!A75="","",Films!A75)</f>
        <v/>
      </c>
      <c r="B75" s="14" t="str">
        <f aca="false">IF(A75="","",Films!B75)</f>
        <v/>
      </c>
      <c r="C75" s="15" t="str">
        <f aca="false">IF(A75="","",Films!C75)</f>
        <v/>
      </c>
      <c r="D75" s="14" t="str">
        <f aca="false">IF(A75="","",IF(COUNTIFS('Daily Log'!$B$2:$B$500,A75)=0,"",_xlfn.MAXIFS('Daily Log'!$D$2:$D$500,'Daily Log'!$B$2:$B$500,A75)))</f>
        <v/>
      </c>
      <c r="E75" s="16" t="str">
        <f aca="false">IF(A75="","",IFERROR(AVERAGEIFS('Daily Log'!$E$2:$E$500,'Daily Log'!$B$2:$B$500,$A75,'Daily Log'!$F$2:$F$500,"Net India",'Daily Log'!$D$2:$D$500,1,'Daily Log'!$H$2:$H$500,"Trade estimate"),IFERROR(AVERAGEIFS('Daily Log'!$E$2:$E$500,'Daily Log'!$B$2:$B$500,$A75,'Daily Log'!$F$2:$F$500,"Net India",'Daily Log'!$D$2:$D$500,D75,'Daily Log'!$H$2:$H$500,"Trade estimate"),"")))</f>
        <v/>
      </c>
      <c r="F75" s="16" t="str">
        <f aca="false">IF(A75="","",IFERROR(AVERAGEIFS('Daily Log'!$E$2:$E$500,'Daily Log'!$B$2:$B$500,$A75,'Daily Log'!$F$2:$F$500,"Net India",'Daily Log'!$D$2:$D$500,1,'Daily Log'!$H$2:$H$500,"Producer-reported"),IFERROR(AVERAGEIFS('Daily Log'!$E$2:$E$500,'Daily Log'!$B$2:$B$500,$A75,'Daily Log'!$F$2:$F$500,"Net India",'Daily Log'!$D$2:$D$500,D75,'Daily Log'!$H$2:$H$500,"Producer-reported"),"")))</f>
        <v/>
      </c>
      <c r="G75" s="17" t="str">
        <f aca="false">IF(OR(E75="",F75=""),"",IF(E75=0,"",F75/E75-1))</f>
        <v/>
      </c>
      <c r="H75" s="16" t="str">
        <f aca="false">IF(OR(A75="",D75=""),"",IFERROR(AVERAGEIFS('Daily Log'!$E$2:$E$500,'Daily Log'!$B$2:$B$500,$A75,'Daily Log'!$F$2:$F$500,"Net India",'Daily Log'!$D$2:$D$500,D75,'Daily Log'!$H$2:$H$500,"Trade estimate"),""))</f>
        <v/>
      </c>
      <c r="I75" s="17" t="str">
        <f aca="false">IF(A75="","",IF(COUNTIFS('Daily Log'!$B$2:$B$500,$A75,'Daily Log'!$F$2:$F$500,"Net India",'Daily Log'!$H$2:$H$500,"Trade estimate",'Daily Log'!$J$2:$J$500,"&gt;=2")=0,"",AVERAGEIFS('Daily Log'!$M$2:$M$500,'Daily Log'!$B$2:$B$500,$A75,'Daily Log'!$F$2:$F$500,"Net India",'Daily Log'!$H$2:$H$500,"Trade estimate",'Daily Log'!$J$2:$J$500,"&gt;=2")))</f>
        <v/>
      </c>
      <c r="J75" s="17" t="str">
        <f aca="false">IF(I75="","",_xlfn.MAXIFS('Daily Log'!$M$2:$M$500,'Daily Log'!$B$2:$B$500,$A75,'Daily Log'!$F$2:$F$500,"Net India",'Daily Log'!$H$2:$H$500,"Trade estimate",'Daily Log'!$J$2:$J$500,"&gt;=2"))</f>
        <v/>
      </c>
      <c r="K75" s="18" t="str">
        <f aca="false">IF(A75="","",IF(I75="","Needs 2+ trade sources",IF(I75&lt;=Lists!$E$6,"Good",IF(I75&lt;=Lists!$E$2,"Moderate","Bad"))))</f>
        <v/>
      </c>
      <c r="L75" s="18" t="str">
        <f aca="false">IF(OR(A75="",G75=""),"",IF(ABS(G75)&lt;=Lists!$E$6,"Good (Aligned)",IF(ABS(G75)&lt;=Lists!$E$2,"Moderate Gap","Bad (Inflated)")))</f>
        <v/>
      </c>
    </row>
    <row r="76" customFormat="false" ht="14.25" hidden="false" customHeight="true" outlineLevel="0" collapsed="false">
      <c r="A76" s="14" t="str">
        <f aca="false">IF(Films!A76="","",Films!A76)</f>
        <v/>
      </c>
      <c r="B76" s="14" t="str">
        <f aca="false">IF(A76="","",Films!B76)</f>
        <v/>
      </c>
      <c r="C76" s="15" t="str">
        <f aca="false">IF(A76="","",Films!C76)</f>
        <v/>
      </c>
      <c r="D76" s="14" t="str">
        <f aca="false">IF(A76="","",IF(COUNTIFS('Daily Log'!$B$2:$B$500,A76)=0,"",_xlfn.MAXIFS('Daily Log'!$D$2:$D$500,'Daily Log'!$B$2:$B$500,A76)))</f>
        <v/>
      </c>
      <c r="E76" s="16" t="str">
        <f aca="false">IF(A76="","",IFERROR(AVERAGEIFS('Daily Log'!$E$2:$E$500,'Daily Log'!$B$2:$B$500,$A76,'Daily Log'!$F$2:$F$500,"Net India",'Daily Log'!$D$2:$D$500,1,'Daily Log'!$H$2:$H$500,"Trade estimate"),IFERROR(AVERAGEIFS('Daily Log'!$E$2:$E$500,'Daily Log'!$B$2:$B$500,$A76,'Daily Log'!$F$2:$F$500,"Net India",'Daily Log'!$D$2:$D$500,D76,'Daily Log'!$H$2:$H$500,"Trade estimate"),"")))</f>
        <v/>
      </c>
      <c r="F76" s="16" t="str">
        <f aca="false">IF(A76="","",IFERROR(AVERAGEIFS('Daily Log'!$E$2:$E$500,'Daily Log'!$B$2:$B$500,$A76,'Daily Log'!$F$2:$F$500,"Net India",'Daily Log'!$D$2:$D$500,1,'Daily Log'!$H$2:$H$500,"Producer-reported"),IFERROR(AVERAGEIFS('Daily Log'!$E$2:$E$500,'Daily Log'!$B$2:$B$500,$A76,'Daily Log'!$F$2:$F$500,"Net India",'Daily Log'!$D$2:$D$500,D76,'Daily Log'!$H$2:$H$500,"Producer-reported"),"")))</f>
        <v/>
      </c>
      <c r="G76" s="17" t="str">
        <f aca="false">IF(OR(E76="",F76=""),"",IF(E76=0,"",F76/E76-1))</f>
        <v/>
      </c>
      <c r="H76" s="16" t="str">
        <f aca="false">IF(OR(A76="",D76=""),"",IFERROR(AVERAGEIFS('Daily Log'!$E$2:$E$500,'Daily Log'!$B$2:$B$500,$A76,'Daily Log'!$F$2:$F$500,"Net India",'Daily Log'!$D$2:$D$500,D76,'Daily Log'!$H$2:$H$500,"Trade estimate"),""))</f>
        <v/>
      </c>
      <c r="I76" s="17" t="str">
        <f aca="false">IF(A76="","",IF(COUNTIFS('Daily Log'!$B$2:$B$500,$A76,'Daily Log'!$F$2:$F$500,"Net India",'Daily Log'!$H$2:$H$500,"Trade estimate",'Daily Log'!$J$2:$J$500,"&gt;=2")=0,"",AVERAGEIFS('Daily Log'!$M$2:$M$500,'Daily Log'!$B$2:$B$500,$A76,'Daily Log'!$F$2:$F$500,"Net India",'Daily Log'!$H$2:$H$500,"Trade estimate",'Daily Log'!$J$2:$J$500,"&gt;=2")))</f>
        <v/>
      </c>
      <c r="J76" s="17" t="str">
        <f aca="false">IF(I76="","",_xlfn.MAXIFS('Daily Log'!$M$2:$M$500,'Daily Log'!$B$2:$B$500,$A76,'Daily Log'!$F$2:$F$500,"Net India",'Daily Log'!$H$2:$H$500,"Trade estimate",'Daily Log'!$J$2:$J$500,"&gt;=2"))</f>
        <v/>
      </c>
      <c r="K76" s="18" t="str">
        <f aca="false">IF(A76="","",IF(I76="","Needs 2+ trade sources",IF(I76&lt;=Lists!$E$6,"Good",IF(I76&lt;=Lists!$E$2,"Moderate","Bad"))))</f>
        <v/>
      </c>
      <c r="L76" s="18" t="str">
        <f aca="false">IF(OR(A76="",G76=""),"",IF(ABS(G76)&lt;=Lists!$E$6,"Good (Aligned)",IF(ABS(G76)&lt;=Lists!$E$2,"Moderate Gap","Bad (Inflated)")))</f>
        <v/>
      </c>
    </row>
    <row r="77" customFormat="false" ht="14.25" hidden="false" customHeight="true" outlineLevel="0" collapsed="false">
      <c r="A77" s="14" t="str">
        <f aca="false">IF(Films!A77="","",Films!A77)</f>
        <v/>
      </c>
      <c r="B77" s="14" t="str">
        <f aca="false">IF(A77="","",Films!B77)</f>
        <v/>
      </c>
      <c r="C77" s="15" t="str">
        <f aca="false">IF(A77="","",Films!C77)</f>
        <v/>
      </c>
      <c r="D77" s="14" t="str">
        <f aca="false">IF(A77="","",IF(COUNTIFS('Daily Log'!$B$2:$B$500,A77)=0,"",_xlfn.MAXIFS('Daily Log'!$D$2:$D$500,'Daily Log'!$B$2:$B$500,A77)))</f>
        <v/>
      </c>
      <c r="E77" s="16" t="str">
        <f aca="false">IF(A77="","",IFERROR(AVERAGEIFS('Daily Log'!$E$2:$E$500,'Daily Log'!$B$2:$B$500,$A77,'Daily Log'!$F$2:$F$500,"Net India",'Daily Log'!$D$2:$D$500,1,'Daily Log'!$H$2:$H$500,"Trade estimate"),IFERROR(AVERAGEIFS('Daily Log'!$E$2:$E$500,'Daily Log'!$B$2:$B$500,$A77,'Daily Log'!$F$2:$F$500,"Net India",'Daily Log'!$D$2:$D$500,D77,'Daily Log'!$H$2:$H$500,"Trade estimate"),"")))</f>
        <v/>
      </c>
      <c r="F77" s="16" t="str">
        <f aca="false">IF(A77="","",IFERROR(AVERAGEIFS('Daily Log'!$E$2:$E$500,'Daily Log'!$B$2:$B$500,$A77,'Daily Log'!$F$2:$F$500,"Net India",'Daily Log'!$D$2:$D$500,1,'Daily Log'!$H$2:$H$500,"Producer-reported"),IFERROR(AVERAGEIFS('Daily Log'!$E$2:$E$500,'Daily Log'!$B$2:$B$500,$A77,'Daily Log'!$F$2:$F$500,"Net India",'Daily Log'!$D$2:$D$500,D77,'Daily Log'!$H$2:$H$500,"Producer-reported"),"")))</f>
        <v/>
      </c>
      <c r="G77" s="17" t="str">
        <f aca="false">IF(OR(E77="",F77=""),"",IF(E77=0,"",F77/E77-1))</f>
        <v/>
      </c>
      <c r="H77" s="16" t="str">
        <f aca="false">IF(OR(A77="",D77=""),"",IFERROR(AVERAGEIFS('Daily Log'!$E$2:$E$500,'Daily Log'!$B$2:$B$500,$A77,'Daily Log'!$F$2:$F$500,"Net India",'Daily Log'!$D$2:$D$500,D77,'Daily Log'!$H$2:$H$500,"Trade estimate"),""))</f>
        <v/>
      </c>
      <c r="I77" s="17" t="str">
        <f aca="false">IF(A77="","",IF(COUNTIFS('Daily Log'!$B$2:$B$500,$A77,'Daily Log'!$F$2:$F$500,"Net India",'Daily Log'!$H$2:$H$500,"Trade estimate",'Daily Log'!$J$2:$J$500,"&gt;=2")=0,"",AVERAGEIFS('Daily Log'!$M$2:$M$500,'Daily Log'!$B$2:$B$500,$A77,'Daily Log'!$F$2:$F$500,"Net India",'Daily Log'!$H$2:$H$500,"Trade estimate",'Daily Log'!$J$2:$J$500,"&gt;=2")))</f>
        <v/>
      </c>
      <c r="J77" s="17" t="str">
        <f aca="false">IF(I77="","",_xlfn.MAXIFS('Daily Log'!$M$2:$M$500,'Daily Log'!$B$2:$B$500,$A77,'Daily Log'!$F$2:$F$500,"Net India",'Daily Log'!$H$2:$H$500,"Trade estimate",'Daily Log'!$J$2:$J$500,"&gt;=2"))</f>
        <v/>
      </c>
      <c r="K77" s="18" t="str">
        <f aca="false">IF(A77="","",IF(I77="","Needs 2+ trade sources",IF(I77&lt;=Lists!$E$6,"Good",IF(I77&lt;=Lists!$E$2,"Moderate","Bad"))))</f>
        <v/>
      </c>
      <c r="L77" s="18" t="str">
        <f aca="false">IF(OR(A77="",G77=""),"",IF(ABS(G77)&lt;=Lists!$E$6,"Good (Aligned)",IF(ABS(G77)&lt;=Lists!$E$2,"Moderate Gap","Bad (Inflated)")))</f>
        <v/>
      </c>
    </row>
    <row r="78" customFormat="false" ht="14.25" hidden="false" customHeight="true" outlineLevel="0" collapsed="false">
      <c r="A78" s="14" t="str">
        <f aca="false">IF(Films!A78="","",Films!A78)</f>
        <v/>
      </c>
      <c r="B78" s="14" t="str">
        <f aca="false">IF(A78="","",Films!B78)</f>
        <v/>
      </c>
      <c r="C78" s="15" t="str">
        <f aca="false">IF(A78="","",Films!C78)</f>
        <v/>
      </c>
      <c r="D78" s="14" t="str">
        <f aca="false">IF(A78="","",IF(COUNTIFS('Daily Log'!$B$2:$B$500,A78)=0,"",_xlfn.MAXIFS('Daily Log'!$D$2:$D$500,'Daily Log'!$B$2:$B$500,A78)))</f>
        <v/>
      </c>
      <c r="E78" s="16" t="str">
        <f aca="false">IF(A78="","",IFERROR(AVERAGEIFS('Daily Log'!$E$2:$E$500,'Daily Log'!$B$2:$B$500,$A78,'Daily Log'!$F$2:$F$500,"Net India",'Daily Log'!$D$2:$D$500,1,'Daily Log'!$H$2:$H$500,"Trade estimate"),IFERROR(AVERAGEIFS('Daily Log'!$E$2:$E$500,'Daily Log'!$B$2:$B$500,$A78,'Daily Log'!$F$2:$F$500,"Net India",'Daily Log'!$D$2:$D$500,D78,'Daily Log'!$H$2:$H$500,"Trade estimate"),"")))</f>
        <v/>
      </c>
      <c r="F78" s="16" t="str">
        <f aca="false">IF(A78="","",IFERROR(AVERAGEIFS('Daily Log'!$E$2:$E$500,'Daily Log'!$B$2:$B$500,$A78,'Daily Log'!$F$2:$F$500,"Net India",'Daily Log'!$D$2:$D$500,1,'Daily Log'!$H$2:$H$500,"Producer-reported"),IFERROR(AVERAGEIFS('Daily Log'!$E$2:$E$500,'Daily Log'!$B$2:$B$500,$A78,'Daily Log'!$F$2:$F$500,"Net India",'Daily Log'!$D$2:$D$500,D78,'Daily Log'!$H$2:$H$500,"Producer-reported"),"")))</f>
        <v/>
      </c>
      <c r="G78" s="17" t="str">
        <f aca="false">IF(OR(E78="",F78=""),"",IF(E78=0,"",F78/E78-1))</f>
        <v/>
      </c>
      <c r="H78" s="16" t="str">
        <f aca="false">IF(OR(A78="",D78=""),"",IFERROR(AVERAGEIFS('Daily Log'!$E$2:$E$500,'Daily Log'!$B$2:$B$500,$A78,'Daily Log'!$F$2:$F$500,"Net India",'Daily Log'!$D$2:$D$500,D78,'Daily Log'!$H$2:$H$500,"Trade estimate"),""))</f>
        <v/>
      </c>
      <c r="I78" s="17" t="str">
        <f aca="false">IF(A78="","",IF(COUNTIFS('Daily Log'!$B$2:$B$500,$A78,'Daily Log'!$F$2:$F$500,"Net India",'Daily Log'!$H$2:$H$500,"Trade estimate",'Daily Log'!$J$2:$J$500,"&gt;=2")=0,"",AVERAGEIFS('Daily Log'!$M$2:$M$500,'Daily Log'!$B$2:$B$500,$A78,'Daily Log'!$F$2:$F$500,"Net India",'Daily Log'!$H$2:$H$500,"Trade estimate",'Daily Log'!$J$2:$J$500,"&gt;=2")))</f>
        <v/>
      </c>
      <c r="J78" s="17" t="str">
        <f aca="false">IF(I78="","",_xlfn.MAXIFS('Daily Log'!$M$2:$M$500,'Daily Log'!$B$2:$B$500,$A78,'Daily Log'!$F$2:$F$500,"Net India",'Daily Log'!$H$2:$H$500,"Trade estimate",'Daily Log'!$J$2:$J$500,"&gt;=2"))</f>
        <v/>
      </c>
      <c r="K78" s="18" t="str">
        <f aca="false">IF(A78="","",IF(I78="","Needs 2+ trade sources",IF(I78&lt;=Lists!$E$6,"Good",IF(I78&lt;=Lists!$E$2,"Moderate","Bad"))))</f>
        <v/>
      </c>
      <c r="L78" s="18" t="str">
        <f aca="false">IF(OR(A78="",G78=""),"",IF(ABS(G78)&lt;=Lists!$E$6,"Good (Aligned)",IF(ABS(G78)&lt;=Lists!$E$2,"Moderate Gap","Bad (Inflated)")))</f>
        <v/>
      </c>
    </row>
    <row r="79" customFormat="false" ht="14.25" hidden="false" customHeight="true" outlineLevel="0" collapsed="false">
      <c r="A79" s="14" t="str">
        <f aca="false">IF(Films!A79="","",Films!A79)</f>
        <v/>
      </c>
      <c r="B79" s="14" t="str">
        <f aca="false">IF(A79="","",Films!B79)</f>
        <v/>
      </c>
      <c r="C79" s="15" t="str">
        <f aca="false">IF(A79="","",Films!C79)</f>
        <v/>
      </c>
      <c r="D79" s="14" t="str">
        <f aca="false">IF(A79="","",IF(COUNTIFS('Daily Log'!$B$2:$B$500,A79)=0,"",_xlfn.MAXIFS('Daily Log'!$D$2:$D$500,'Daily Log'!$B$2:$B$500,A79)))</f>
        <v/>
      </c>
      <c r="E79" s="16" t="str">
        <f aca="false">IF(A79="","",IFERROR(AVERAGEIFS('Daily Log'!$E$2:$E$500,'Daily Log'!$B$2:$B$500,$A79,'Daily Log'!$F$2:$F$500,"Net India",'Daily Log'!$D$2:$D$500,1,'Daily Log'!$H$2:$H$500,"Trade estimate"),IFERROR(AVERAGEIFS('Daily Log'!$E$2:$E$500,'Daily Log'!$B$2:$B$500,$A79,'Daily Log'!$F$2:$F$500,"Net India",'Daily Log'!$D$2:$D$500,D79,'Daily Log'!$H$2:$H$500,"Trade estimate"),"")))</f>
        <v/>
      </c>
      <c r="F79" s="16" t="str">
        <f aca="false">IF(A79="","",IFERROR(AVERAGEIFS('Daily Log'!$E$2:$E$500,'Daily Log'!$B$2:$B$500,$A79,'Daily Log'!$F$2:$F$500,"Net India",'Daily Log'!$D$2:$D$500,1,'Daily Log'!$H$2:$H$500,"Producer-reported"),IFERROR(AVERAGEIFS('Daily Log'!$E$2:$E$500,'Daily Log'!$B$2:$B$500,$A79,'Daily Log'!$F$2:$F$500,"Net India",'Daily Log'!$D$2:$D$500,D79,'Daily Log'!$H$2:$H$500,"Producer-reported"),"")))</f>
        <v/>
      </c>
      <c r="G79" s="17" t="str">
        <f aca="false">IF(OR(E79="",F79=""),"",IF(E79=0,"",F79/E79-1))</f>
        <v/>
      </c>
      <c r="H79" s="16" t="str">
        <f aca="false">IF(OR(A79="",D79=""),"",IFERROR(AVERAGEIFS('Daily Log'!$E$2:$E$500,'Daily Log'!$B$2:$B$500,$A79,'Daily Log'!$F$2:$F$500,"Net India",'Daily Log'!$D$2:$D$500,D79,'Daily Log'!$H$2:$H$500,"Trade estimate"),""))</f>
        <v/>
      </c>
      <c r="I79" s="17" t="str">
        <f aca="false">IF(A79="","",IF(COUNTIFS('Daily Log'!$B$2:$B$500,$A79,'Daily Log'!$F$2:$F$500,"Net India",'Daily Log'!$H$2:$H$500,"Trade estimate",'Daily Log'!$J$2:$J$500,"&gt;=2")=0,"",AVERAGEIFS('Daily Log'!$M$2:$M$500,'Daily Log'!$B$2:$B$500,$A79,'Daily Log'!$F$2:$F$500,"Net India",'Daily Log'!$H$2:$H$500,"Trade estimate",'Daily Log'!$J$2:$J$500,"&gt;=2")))</f>
        <v/>
      </c>
      <c r="J79" s="17" t="str">
        <f aca="false">IF(I79="","",_xlfn.MAXIFS('Daily Log'!$M$2:$M$500,'Daily Log'!$B$2:$B$500,$A79,'Daily Log'!$F$2:$F$500,"Net India",'Daily Log'!$H$2:$H$500,"Trade estimate",'Daily Log'!$J$2:$J$500,"&gt;=2"))</f>
        <v/>
      </c>
      <c r="K79" s="18" t="str">
        <f aca="false">IF(A79="","",IF(I79="","Needs 2+ trade sources",IF(I79&lt;=Lists!$E$6,"Good",IF(I79&lt;=Lists!$E$2,"Moderate","Bad"))))</f>
        <v/>
      </c>
      <c r="L79" s="18" t="str">
        <f aca="false">IF(OR(A79="",G79=""),"",IF(ABS(G79)&lt;=Lists!$E$6,"Good (Aligned)",IF(ABS(G79)&lt;=Lists!$E$2,"Moderate Gap","Bad (Inflated)")))</f>
        <v/>
      </c>
    </row>
    <row r="80" customFormat="false" ht="14.25" hidden="false" customHeight="true" outlineLevel="0" collapsed="false">
      <c r="A80" s="14" t="str">
        <f aca="false">IF(Films!A80="","",Films!A80)</f>
        <v/>
      </c>
      <c r="B80" s="14" t="str">
        <f aca="false">IF(A80="","",Films!B80)</f>
        <v/>
      </c>
      <c r="C80" s="15" t="str">
        <f aca="false">IF(A80="","",Films!C80)</f>
        <v/>
      </c>
      <c r="D80" s="14" t="str">
        <f aca="false">IF(A80="","",IF(COUNTIFS('Daily Log'!$B$2:$B$500,A80)=0,"",_xlfn.MAXIFS('Daily Log'!$D$2:$D$500,'Daily Log'!$B$2:$B$500,A80)))</f>
        <v/>
      </c>
      <c r="E80" s="16" t="str">
        <f aca="false">IF(A80="","",IFERROR(AVERAGEIFS('Daily Log'!$E$2:$E$500,'Daily Log'!$B$2:$B$500,$A80,'Daily Log'!$F$2:$F$500,"Net India",'Daily Log'!$D$2:$D$500,1,'Daily Log'!$H$2:$H$500,"Trade estimate"),IFERROR(AVERAGEIFS('Daily Log'!$E$2:$E$500,'Daily Log'!$B$2:$B$500,$A80,'Daily Log'!$F$2:$F$500,"Net India",'Daily Log'!$D$2:$D$500,D80,'Daily Log'!$H$2:$H$500,"Trade estimate"),"")))</f>
        <v/>
      </c>
      <c r="F80" s="16" t="str">
        <f aca="false">IF(A80="","",IFERROR(AVERAGEIFS('Daily Log'!$E$2:$E$500,'Daily Log'!$B$2:$B$500,$A80,'Daily Log'!$F$2:$F$500,"Net India",'Daily Log'!$D$2:$D$500,1,'Daily Log'!$H$2:$H$500,"Producer-reported"),IFERROR(AVERAGEIFS('Daily Log'!$E$2:$E$500,'Daily Log'!$B$2:$B$500,$A80,'Daily Log'!$F$2:$F$500,"Net India",'Daily Log'!$D$2:$D$500,D80,'Daily Log'!$H$2:$H$500,"Producer-reported"),"")))</f>
        <v/>
      </c>
      <c r="G80" s="17" t="str">
        <f aca="false">IF(OR(E80="",F80=""),"",IF(E80=0,"",F80/E80-1))</f>
        <v/>
      </c>
      <c r="H80" s="16" t="str">
        <f aca="false">IF(OR(A80="",D80=""),"",IFERROR(AVERAGEIFS('Daily Log'!$E$2:$E$500,'Daily Log'!$B$2:$B$500,$A80,'Daily Log'!$F$2:$F$500,"Net India",'Daily Log'!$D$2:$D$500,D80,'Daily Log'!$H$2:$H$500,"Trade estimate"),""))</f>
        <v/>
      </c>
      <c r="I80" s="17" t="str">
        <f aca="false">IF(A80="","",IF(COUNTIFS('Daily Log'!$B$2:$B$500,$A80,'Daily Log'!$F$2:$F$500,"Net India",'Daily Log'!$H$2:$H$500,"Trade estimate",'Daily Log'!$J$2:$J$500,"&gt;=2")=0,"",AVERAGEIFS('Daily Log'!$M$2:$M$500,'Daily Log'!$B$2:$B$500,$A80,'Daily Log'!$F$2:$F$500,"Net India",'Daily Log'!$H$2:$H$500,"Trade estimate",'Daily Log'!$J$2:$J$500,"&gt;=2")))</f>
        <v/>
      </c>
      <c r="J80" s="17" t="str">
        <f aca="false">IF(I80="","",_xlfn.MAXIFS('Daily Log'!$M$2:$M$500,'Daily Log'!$B$2:$B$500,$A80,'Daily Log'!$F$2:$F$500,"Net India",'Daily Log'!$H$2:$H$500,"Trade estimate",'Daily Log'!$J$2:$J$500,"&gt;=2"))</f>
        <v/>
      </c>
      <c r="K80" s="18" t="str">
        <f aca="false">IF(A80="","",IF(I80="","Needs 2+ trade sources",IF(I80&lt;=Lists!$E$6,"Good",IF(I80&lt;=Lists!$E$2,"Moderate","Bad"))))</f>
        <v/>
      </c>
      <c r="L80" s="18" t="str">
        <f aca="false">IF(OR(A80="",G80=""),"",IF(ABS(G80)&lt;=Lists!$E$6,"Good (Aligned)",IF(ABS(G80)&lt;=Lists!$E$2,"Moderate Gap","Bad (Inflated)")))</f>
        <v/>
      </c>
    </row>
    <row r="81" customFormat="false" ht="14.25" hidden="false" customHeight="true" outlineLevel="0" collapsed="false">
      <c r="A81" s="14" t="str">
        <f aca="false">IF(Films!A81="","",Films!A81)</f>
        <v/>
      </c>
      <c r="B81" s="14" t="str">
        <f aca="false">IF(A81="","",Films!B81)</f>
        <v/>
      </c>
      <c r="C81" s="15" t="str">
        <f aca="false">IF(A81="","",Films!C81)</f>
        <v/>
      </c>
      <c r="D81" s="14" t="str">
        <f aca="false">IF(A81="","",IF(COUNTIFS('Daily Log'!$B$2:$B$500,A81)=0,"",_xlfn.MAXIFS('Daily Log'!$D$2:$D$500,'Daily Log'!$B$2:$B$500,A81)))</f>
        <v/>
      </c>
      <c r="E81" s="16" t="str">
        <f aca="false">IF(A81="","",IFERROR(AVERAGEIFS('Daily Log'!$E$2:$E$500,'Daily Log'!$B$2:$B$500,$A81,'Daily Log'!$F$2:$F$500,"Net India",'Daily Log'!$D$2:$D$500,1,'Daily Log'!$H$2:$H$500,"Trade estimate"),IFERROR(AVERAGEIFS('Daily Log'!$E$2:$E$500,'Daily Log'!$B$2:$B$500,$A81,'Daily Log'!$F$2:$F$500,"Net India",'Daily Log'!$D$2:$D$500,D81,'Daily Log'!$H$2:$H$500,"Trade estimate"),"")))</f>
        <v/>
      </c>
      <c r="F81" s="16" t="str">
        <f aca="false">IF(A81="","",IFERROR(AVERAGEIFS('Daily Log'!$E$2:$E$500,'Daily Log'!$B$2:$B$500,$A81,'Daily Log'!$F$2:$F$500,"Net India",'Daily Log'!$D$2:$D$500,1,'Daily Log'!$H$2:$H$500,"Producer-reported"),IFERROR(AVERAGEIFS('Daily Log'!$E$2:$E$500,'Daily Log'!$B$2:$B$500,$A81,'Daily Log'!$F$2:$F$500,"Net India",'Daily Log'!$D$2:$D$500,D81,'Daily Log'!$H$2:$H$500,"Producer-reported"),"")))</f>
        <v/>
      </c>
      <c r="G81" s="17" t="str">
        <f aca="false">IF(OR(E81="",F81=""),"",IF(E81=0,"",F81/E81-1))</f>
        <v/>
      </c>
      <c r="H81" s="16" t="str">
        <f aca="false">IF(OR(A81="",D81=""),"",IFERROR(AVERAGEIFS('Daily Log'!$E$2:$E$500,'Daily Log'!$B$2:$B$500,$A81,'Daily Log'!$F$2:$F$500,"Net India",'Daily Log'!$D$2:$D$500,D81,'Daily Log'!$H$2:$H$500,"Trade estimate"),""))</f>
        <v/>
      </c>
      <c r="I81" s="17" t="str">
        <f aca="false">IF(A81="","",IF(COUNTIFS('Daily Log'!$B$2:$B$500,$A81,'Daily Log'!$F$2:$F$500,"Net India",'Daily Log'!$H$2:$H$500,"Trade estimate",'Daily Log'!$J$2:$J$500,"&gt;=2")=0,"",AVERAGEIFS('Daily Log'!$M$2:$M$500,'Daily Log'!$B$2:$B$500,$A81,'Daily Log'!$F$2:$F$500,"Net India",'Daily Log'!$H$2:$H$500,"Trade estimate",'Daily Log'!$J$2:$J$500,"&gt;=2")))</f>
        <v/>
      </c>
      <c r="J81" s="17" t="str">
        <f aca="false">IF(I81="","",_xlfn.MAXIFS('Daily Log'!$M$2:$M$500,'Daily Log'!$B$2:$B$500,$A81,'Daily Log'!$F$2:$F$500,"Net India",'Daily Log'!$H$2:$H$500,"Trade estimate",'Daily Log'!$J$2:$J$500,"&gt;=2"))</f>
        <v/>
      </c>
      <c r="K81" s="18" t="str">
        <f aca="false">IF(A81="","",IF(I81="","Needs 2+ trade sources",IF(I81&lt;=Lists!$E$6,"Good",IF(I81&lt;=Lists!$E$2,"Moderate","Bad"))))</f>
        <v/>
      </c>
      <c r="L81" s="18" t="str">
        <f aca="false">IF(OR(A81="",G81=""),"",IF(ABS(G81)&lt;=Lists!$E$6,"Good (Aligned)",IF(ABS(G81)&lt;=Lists!$E$2,"Moderate Gap","Bad (Inflated)")))</f>
        <v/>
      </c>
    </row>
    <row r="82" customFormat="false" ht="14.25" hidden="false" customHeight="true" outlineLevel="0" collapsed="false">
      <c r="A82" s="14" t="str">
        <f aca="false">IF(Films!A82="","",Films!A82)</f>
        <v/>
      </c>
      <c r="B82" s="14" t="str">
        <f aca="false">IF(A82="","",Films!B82)</f>
        <v/>
      </c>
      <c r="C82" s="15" t="str">
        <f aca="false">IF(A82="","",Films!C82)</f>
        <v/>
      </c>
      <c r="D82" s="14" t="str">
        <f aca="false">IF(A82="","",IF(COUNTIFS('Daily Log'!$B$2:$B$500,A82)=0,"",_xlfn.MAXIFS('Daily Log'!$D$2:$D$500,'Daily Log'!$B$2:$B$500,A82)))</f>
        <v/>
      </c>
      <c r="E82" s="16" t="str">
        <f aca="false">IF(A82="","",IFERROR(AVERAGEIFS('Daily Log'!$E$2:$E$500,'Daily Log'!$B$2:$B$500,$A82,'Daily Log'!$F$2:$F$500,"Net India",'Daily Log'!$D$2:$D$500,1,'Daily Log'!$H$2:$H$500,"Trade estimate"),IFERROR(AVERAGEIFS('Daily Log'!$E$2:$E$500,'Daily Log'!$B$2:$B$500,$A82,'Daily Log'!$F$2:$F$500,"Net India",'Daily Log'!$D$2:$D$500,D82,'Daily Log'!$H$2:$H$500,"Trade estimate"),"")))</f>
        <v/>
      </c>
      <c r="F82" s="16" t="str">
        <f aca="false">IF(A82="","",IFERROR(AVERAGEIFS('Daily Log'!$E$2:$E$500,'Daily Log'!$B$2:$B$500,$A82,'Daily Log'!$F$2:$F$500,"Net India",'Daily Log'!$D$2:$D$500,1,'Daily Log'!$H$2:$H$500,"Producer-reported"),IFERROR(AVERAGEIFS('Daily Log'!$E$2:$E$500,'Daily Log'!$B$2:$B$500,$A82,'Daily Log'!$F$2:$F$500,"Net India",'Daily Log'!$D$2:$D$500,D82,'Daily Log'!$H$2:$H$500,"Producer-reported"),"")))</f>
        <v/>
      </c>
      <c r="G82" s="17" t="str">
        <f aca="false">IF(OR(E82="",F82=""),"",IF(E82=0,"",F82/E82-1))</f>
        <v/>
      </c>
      <c r="H82" s="16" t="str">
        <f aca="false">IF(OR(A82="",D82=""),"",IFERROR(AVERAGEIFS('Daily Log'!$E$2:$E$500,'Daily Log'!$B$2:$B$500,$A82,'Daily Log'!$F$2:$F$500,"Net India",'Daily Log'!$D$2:$D$500,D82,'Daily Log'!$H$2:$H$500,"Trade estimate"),""))</f>
        <v/>
      </c>
      <c r="I82" s="17" t="str">
        <f aca="false">IF(A82="","",IF(COUNTIFS('Daily Log'!$B$2:$B$500,$A82,'Daily Log'!$F$2:$F$500,"Net India",'Daily Log'!$H$2:$H$500,"Trade estimate",'Daily Log'!$J$2:$J$500,"&gt;=2")=0,"",AVERAGEIFS('Daily Log'!$M$2:$M$500,'Daily Log'!$B$2:$B$500,$A82,'Daily Log'!$F$2:$F$500,"Net India",'Daily Log'!$H$2:$H$500,"Trade estimate",'Daily Log'!$J$2:$J$500,"&gt;=2")))</f>
        <v/>
      </c>
      <c r="J82" s="17" t="str">
        <f aca="false">IF(I82="","",_xlfn.MAXIFS('Daily Log'!$M$2:$M$500,'Daily Log'!$B$2:$B$500,$A82,'Daily Log'!$F$2:$F$500,"Net India",'Daily Log'!$H$2:$H$500,"Trade estimate",'Daily Log'!$J$2:$J$500,"&gt;=2"))</f>
        <v/>
      </c>
      <c r="K82" s="18" t="str">
        <f aca="false">IF(A82="","",IF(I82="","Needs 2+ trade sources",IF(I82&lt;=Lists!$E$6,"Good",IF(I82&lt;=Lists!$E$2,"Moderate","Bad"))))</f>
        <v/>
      </c>
      <c r="L82" s="18" t="str">
        <f aca="false">IF(OR(A82="",G82=""),"",IF(ABS(G82)&lt;=Lists!$E$6,"Good (Aligned)",IF(ABS(G82)&lt;=Lists!$E$2,"Moderate Gap","Bad (Inflated)")))</f>
        <v/>
      </c>
    </row>
    <row r="83" customFormat="false" ht="14.25" hidden="false" customHeight="true" outlineLevel="0" collapsed="false">
      <c r="A83" s="14" t="str">
        <f aca="false">IF(Films!A83="","",Films!A83)</f>
        <v/>
      </c>
      <c r="B83" s="14" t="str">
        <f aca="false">IF(A83="","",Films!B83)</f>
        <v/>
      </c>
      <c r="C83" s="15" t="str">
        <f aca="false">IF(A83="","",Films!C83)</f>
        <v/>
      </c>
      <c r="D83" s="14" t="str">
        <f aca="false">IF(A83="","",IF(COUNTIFS('Daily Log'!$B$2:$B$500,A83)=0,"",_xlfn.MAXIFS('Daily Log'!$D$2:$D$500,'Daily Log'!$B$2:$B$500,A83)))</f>
        <v/>
      </c>
      <c r="E83" s="16" t="str">
        <f aca="false">IF(A83="","",IFERROR(AVERAGEIFS('Daily Log'!$E$2:$E$500,'Daily Log'!$B$2:$B$500,$A83,'Daily Log'!$F$2:$F$500,"Net India",'Daily Log'!$D$2:$D$500,1,'Daily Log'!$H$2:$H$500,"Trade estimate"),IFERROR(AVERAGEIFS('Daily Log'!$E$2:$E$500,'Daily Log'!$B$2:$B$500,$A83,'Daily Log'!$F$2:$F$500,"Net India",'Daily Log'!$D$2:$D$500,D83,'Daily Log'!$H$2:$H$500,"Trade estimate"),"")))</f>
        <v/>
      </c>
      <c r="F83" s="16" t="str">
        <f aca="false">IF(A83="","",IFERROR(AVERAGEIFS('Daily Log'!$E$2:$E$500,'Daily Log'!$B$2:$B$500,$A83,'Daily Log'!$F$2:$F$500,"Net India",'Daily Log'!$D$2:$D$500,1,'Daily Log'!$H$2:$H$500,"Producer-reported"),IFERROR(AVERAGEIFS('Daily Log'!$E$2:$E$500,'Daily Log'!$B$2:$B$500,$A83,'Daily Log'!$F$2:$F$500,"Net India",'Daily Log'!$D$2:$D$500,D83,'Daily Log'!$H$2:$H$500,"Producer-reported"),"")))</f>
        <v/>
      </c>
      <c r="G83" s="17" t="str">
        <f aca="false">IF(OR(E83="",F83=""),"",IF(E83=0,"",F83/E83-1))</f>
        <v/>
      </c>
      <c r="H83" s="16" t="str">
        <f aca="false">IF(OR(A83="",D83=""),"",IFERROR(AVERAGEIFS('Daily Log'!$E$2:$E$500,'Daily Log'!$B$2:$B$500,$A83,'Daily Log'!$F$2:$F$500,"Net India",'Daily Log'!$D$2:$D$500,D83,'Daily Log'!$H$2:$H$500,"Trade estimate"),""))</f>
        <v/>
      </c>
      <c r="I83" s="17" t="str">
        <f aca="false">IF(A83="","",IF(COUNTIFS('Daily Log'!$B$2:$B$500,$A83,'Daily Log'!$F$2:$F$500,"Net India",'Daily Log'!$H$2:$H$500,"Trade estimate",'Daily Log'!$J$2:$J$500,"&gt;=2")=0,"",AVERAGEIFS('Daily Log'!$M$2:$M$500,'Daily Log'!$B$2:$B$500,$A83,'Daily Log'!$F$2:$F$500,"Net India",'Daily Log'!$H$2:$H$500,"Trade estimate",'Daily Log'!$J$2:$J$500,"&gt;=2")))</f>
        <v/>
      </c>
      <c r="J83" s="17" t="str">
        <f aca="false">IF(I83="","",_xlfn.MAXIFS('Daily Log'!$M$2:$M$500,'Daily Log'!$B$2:$B$500,$A83,'Daily Log'!$F$2:$F$500,"Net India",'Daily Log'!$H$2:$H$500,"Trade estimate",'Daily Log'!$J$2:$J$500,"&gt;=2"))</f>
        <v/>
      </c>
      <c r="K83" s="18" t="str">
        <f aca="false">IF(A83="","",IF(I83="","Needs 2+ trade sources",IF(I83&lt;=Lists!$E$6,"Good",IF(I83&lt;=Lists!$E$2,"Moderate","Bad"))))</f>
        <v/>
      </c>
      <c r="L83" s="18" t="str">
        <f aca="false">IF(OR(A83="",G83=""),"",IF(ABS(G83)&lt;=Lists!$E$6,"Good (Aligned)",IF(ABS(G83)&lt;=Lists!$E$2,"Moderate Gap","Bad (Inflated)")))</f>
        <v/>
      </c>
    </row>
    <row r="84" customFormat="false" ht="14.25" hidden="false" customHeight="true" outlineLevel="0" collapsed="false">
      <c r="A84" s="14" t="str">
        <f aca="false">IF(Films!A84="","",Films!A84)</f>
        <v/>
      </c>
      <c r="B84" s="14" t="str">
        <f aca="false">IF(A84="","",Films!B84)</f>
        <v/>
      </c>
      <c r="C84" s="15" t="str">
        <f aca="false">IF(A84="","",Films!C84)</f>
        <v/>
      </c>
      <c r="D84" s="14" t="str">
        <f aca="false">IF(A84="","",IF(COUNTIFS('Daily Log'!$B$2:$B$500,A84)=0,"",_xlfn.MAXIFS('Daily Log'!$D$2:$D$500,'Daily Log'!$B$2:$B$500,A84)))</f>
        <v/>
      </c>
      <c r="E84" s="16" t="str">
        <f aca="false">IF(A84="","",IFERROR(AVERAGEIFS('Daily Log'!$E$2:$E$500,'Daily Log'!$B$2:$B$500,$A84,'Daily Log'!$F$2:$F$500,"Net India",'Daily Log'!$D$2:$D$500,1,'Daily Log'!$H$2:$H$500,"Trade estimate"),IFERROR(AVERAGEIFS('Daily Log'!$E$2:$E$500,'Daily Log'!$B$2:$B$500,$A84,'Daily Log'!$F$2:$F$500,"Net India",'Daily Log'!$D$2:$D$500,D84,'Daily Log'!$H$2:$H$500,"Trade estimate"),"")))</f>
        <v/>
      </c>
      <c r="F84" s="16" t="str">
        <f aca="false">IF(A84="","",IFERROR(AVERAGEIFS('Daily Log'!$E$2:$E$500,'Daily Log'!$B$2:$B$500,$A84,'Daily Log'!$F$2:$F$500,"Net India",'Daily Log'!$D$2:$D$500,1,'Daily Log'!$H$2:$H$500,"Producer-reported"),IFERROR(AVERAGEIFS('Daily Log'!$E$2:$E$500,'Daily Log'!$B$2:$B$500,$A84,'Daily Log'!$F$2:$F$500,"Net India",'Daily Log'!$D$2:$D$500,D84,'Daily Log'!$H$2:$H$500,"Producer-reported"),"")))</f>
        <v/>
      </c>
      <c r="G84" s="17" t="str">
        <f aca="false">IF(OR(E84="",F84=""),"",IF(E84=0,"",F84/E84-1))</f>
        <v/>
      </c>
      <c r="H84" s="16" t="str">
        <f aca="false">IF(OR(A84="",D84=""),"",IFERROR(AVERAGEIFS('Daily Log'!$E$2:$E$500,'Daily Log'!$B$2:$B$500,$A84,'Daily Log'!$F$2:$F$500,"Net India",'Daily Log'!$D$2:$D$500,D84,'Daily Log'!$H$2:$H$500,"Trade estimate"),""))</f>
        <v/>
      </c>
      <c r="I84" s="17" t="str">
        <f aca="false">IF(A84="","",IF(COUNTIFS('Daily Log'!$B$2:$B$500,$A84,'Daily Log'!$F$2:$F$500,"Net India",'Daily Log'!$H$2:$H$500,"Trade estimate",'Daily Log'!$J$2:$J$500,"&gt;=2")=0,"",AVERAGEIFS('Daily Log'!$M$2:$M$500,'Daily Log'!$B$2:$B$500,$A84,'Daily Log'!$F$2:$F$500,"Net India",'Daily Log'!$H$2:$H$500,"Trade estimate",'Daily Log'!$J$2:$J$500,"&gt;=2")))</f>
        <v/>
      </c>
      <c r="J84" s="17" t="str">
        <f aca="false">IF(I84="","",_xlfn.MAXIFS('Daily Log'!$M$2:$M$500,'Daily Log'!$B$2:$B$500,$A84,'Daily Log'!$F$2:$F$500,"Net India",'Daily Log'!$H$2:$H$500,"Trade estimate",'Daily Log'!$J$2:$J$500,"&gt;=2"))</f>
        <v/>
      </c>
      <c r="K84" s="18" t="str">
        <f aca="false">IF(A84="","",IF(I84="","Needs 2+ trade sources",IF(I84&lt;=Lists!$E$6,"Good",IF(I84&lt;=Lists!$E$2,"Moderate","Bad"))))</f>
        <v/>
      </c>
      <c r="L84" s="18" t="str">
        <f aca="false">IF(OR(A84="",G84=""),"",IF(ABS(G84)&lt;=Lists!$E$6,"Good (Aligned)",IF(ABS(G84)&lt;=Lists!$E$2,"Moderate Gap","Bad (Inflated)")))</f>
        <v/>
      </c>
    </row>
    <row r="85" customFormat="false" ht="14.25" hidden="false" customHeight="true" outlineLevel="0" collapsed="false">
      <c r="A85" s="14" t="str">
        <f aca="false">IF(Films!A85="","",Films!A85)</f>
        <v/>
      </c>
      <c r="B85" s="14" t="str">
        <f aca="false">IF(A85="","",Films!B85)</f>
        <v/>
      </c>
      <c r="C85" s="15" t="str">
        <f aca="false">IF(A85="","",Films!C85)</f>
        <v/>
      </c>
      <c r="D85" s="14" t="str">
        <f aca="false">IF(A85="","",IF(COUNTIFS('Daily Log'!$B$2:$B$500,A85)=0,"",_xlfn.MAXIFS('Daily Log'!$D$2:$D$500,'Daily Log'!$B$2:$B$500,A85)))</f>
        <v/>
      </c>
      <c r="E85" s="16" t="str">
        <f aca="false">IF(A85="","",IFERROR(AVERAGEIFS('Daily Log'!$E$2:$E$500,'Daily Log'!$B$2:$B$500,$A85,'Daily Log'!$F$2:$F$500,"Net India",'Daily Log'!$D$2:$D$500,1,'Daily Log'!$H$2:$H$500,"Trade estimate"),IFERROR(AVERAGEIFS('Daily Log'!$E$2:$E$500,'Daily Log'!$B$2:$B$500,$A85,'Daily Log'!$F$2:$F$500,"Net India",'Daily Log'!$D$2:$D$500,D85,'Daily Log'!$H$2:$H$500,"Trade estimate"),"")))</f>
        <v/>
      </c>
      <c r="F85" s="16" t="str">
        <f aca="false">IF(A85="","",IFERROR(AVERAGEIFS('Daily Log'!$E$2:$E$500,'Daily Log'!$B$2:$B$500,$A85,'Daily Log'!$F$2:$F$500,"Net India",'Daily Log'!$D$2:$D$500,1,'Daily Log'!$H$2:$H$500,"Producer-reported"),IFERROR(AVERAGEIFS('Daily Log'!$E$2:$E$500,'Daily Log'!$B$2:$B$500,$A85,'Daily Log'!$F$2:$F$500,"Net India",'Daily Log'!$D$2:$D$500,D85,'Daily Log'!$H$2:$H$500,"Producer-reported"),"")))</f>
        <v/>
      </c>
      <c r="G85" s="17" t="str">
        <f aca="false">IF(OR(E85="",F85=""),"",IF(E85=0,"",F85/E85-1))</f>
        <v/>
      </c>
      <c r="H85" s="16" t="str">
        <f aca="false">IF(OR(A85="",D85=""),"",IFERROR(AVERAGEIFS('Daily Log'!$E$2:$E$500,'Daily Log'!$B$2:$B$500,$A85,'Daily Log'!$F$2:$F$500,"Net India",'Daily Log'!$D$2:$D$500,D85,'Daily Log'!$H$2:$H$500,"Trade estimate"),""))</f>
        <v/>
      </c>
      <c r="I85" s="17" t="str">
        <f aca="false">IF(A85="","",IF(COUNTIFS('Daily Log'!$B$2:$B$500,$A85,'Daily Log'!$F$2:$F$500,"Net India",'Daily Log'!$H$2:$H$500,"Trade estimate",'Daily Log'!$J$2:$J$500,"&gt;=2")=0,"",AVERAGEIFS('Daily Log'!$M$2:$M$500,'Daily Log'!$B$2:$B$500,$A85,'Daily Log'!$F$2:$F$500,"Net India",'Daily Log'!$H$2:$H$500,"Trade estimate",'Daily Log'!$J$2:$J$500,"&gt;=2")))</f>
        <v/>
      </c>
      <c r="J85" s="17" t="str">
        <f aca="false">IF(I85="","",_xlfn.MAXIFS('Daily Log'!$M$2:$M$500,'Daily Log'!$B$2:$B$500,$A85,'Daily Log'!$F$2:$F$500,"Net India",'Daily Log'!$H$2:$H$500,"Trade estimate",'Daily Log'!$J$2:$J$500,"&gt;=2"))</f>
        <v/>
      </c>
      <c r="K85" s="18" t="str">
        <f aca="false">IF(A85="","",IF(I85="","Needs 2+ trade sources",IF(I85&lt;=Lists!$E$6,"Good",IF(I85&lt;=Lists!$E$2,"Moderate","Bad"))))</f>
        <v/>
      </c>
      <c r="L85" s="18" t="str">
        <f aca="false">IF(OR(A85="",G85=""),"",IF(ABS(G85)&lt;=Lists!$E$6,"Good (Aligned)",IF(ABS(G85)&lt;=Lists!$E$2,"Moderate Gap","Bad (Inflated)")))</f>
        <v/>
      </c>
    </row>
    <row r="86" customFormat="false" ht="14.25" hidden="false" customHeight="true" outlineLevel="0" collapsed="false">
      <c r="A86" s="14" t="str">
        <f aca="false">IF(Films!A86="","",Films!A86)</f>
        <v/>
      </c>
      <c r="B86" s="14" t="str">
        <f aca="false">IF(A86="","",Films!B86)</f>
        <v/>
      </c>
      <c r="C86" s="15" t="str">
        <f aca="false">IF(A86="","",Films!C86)</f>
        <v/>
      </c>
      <c r="D86" s="14" t="str">
        <f aca="false">IF(A86="","",IF(COUNTIFS('Daily Log'!$B$2:$B$500,A86)=0,"",_xlfn.MAXIFS('Daily Log'!$D$2:$D$500,'Daily Log'!$B$2:$B$500,A86)))</f>
        <v/>
      </c>
      <c r="E86" s="16" t="str">
        <f aca="false">IF(A86="","",IFERROR(AVERAGEIFS('Daily Log'!$E$2:$E$500,'Daily Log'!$B$2:$B$500,$A86,'Daily Log'!$F$2:$F$500,"Net India",'Daily Log'!$D$2:$D$500,1,'Daily Log'!$H$2:$H$500,"Trade estimate"),IFERROR(AVERAGEIFS('Daily Log'!$E$2:$E$500,'Daily Log'!$B$2:$B$500,$A86,'Daily Log'!$F$2:$F$500,"Net India",'Daily Log'!$D$2:$D$500,D86,'Daily Log'!$H$2:$H$500,"Trade estimate"),"")))</f>
        <v/>
      </c>
      <c r="F86" s="16" t="str">
        <f aca="false">IF(A86="","",IFERROR(AVERAGEIFS('Daily Log'!$E$2:$E$500,'Daily Log'!$B$2:$B$500,$A86,'Daily Log'!$F$2:$F$500,"Net India",'Daily Log'!$D$2:$D$500,1,'Daily Log'!$H$2:$H$500,"Producer-reported"),IFERROR(AVERAGEIFS('Daily Log'!$E$2:$E$500,'Daily Log'!$B$2:$B$500,$A86,'Daily Log'!$F$2:$F$500,"Net India",'Daily Log'!$D$2:$D$500,D86,'Daily Log'!$H$2:$H$500,"Producer-reported"),"")))</f>
        <v/>
      </c>
      <c r="G86" s="17" t="str">
        <f aca="false">IF(OR(E86="",F86=""),"",IF(E86=0,"",F86/E86-1))</f>
        <v/>
      </c>
      <c r="H86" s="16" t="str">
        <f aca="false">IF(OR(A86="",D86=""),"",IFERROR(AVERAGEIFS('Daily Log'!$E$2:$E$500,'Daily Log'!$B$2:$B$500,$A86,'Daily Log'!$F$2:$F$500,"Net India",'Daily Log'!$D$2:$D$500,D86,'Daily Log'!$H$2:$H$500,"Trade estimate"),""))</f>
        <v/>
      </c>
      <c r="I86" s="17" t="str">
        <f aca="false">IF(A86="","",IF(COUNTIFS('Daily Log'!$B$2:$B$500,$A86,'Daily Log'!$F$2:$F$500,"Net India",'Daily Log'!$H$2:$H$500,"Trade estimate",'Daily Log'!$J$2:$J$500,"&gt;=2")=0,"",AVERAGEIFS('Daily Log'!$M$2:$M$500,'Daily Log'!$B$2:$B$500,$A86,'Daily Log'!$F$2:$F$500,"Net India",'Daily Log'!$H$2:$H$500,"Trade estimate",'Daily Log'!$J$2:$J$500,"&gt;=2")))</f>
        <v/>
      </c>
      <c r="J86" s="17" t="str">
        <f aca="false">IF(I86="","",_xlfn.MAXIFS('Daily Log'!$M$2:$M$500,'Daily Log'!$B$2:$B$500,$A86,'Daily Log'!$F$2:$F$500,"Net India",'Daily Log'!$H$2:$H$500,"Trade estimate",'Daily Log'!$J$2:$J$500,"&gt;=2"))</f>
        <v/>
      </c>
      <c r="K86" s="18" t="str">
        <f aca="false">IF(A86="","",IF(I86="","Needs 2+ trade sources",IF(I86&lt;=Lists!$E$6,"Good",IF(I86&lt;=Lists!$E$2,"Moderate","Bad"))))</f>
        <v/>
      </c>
      <c r="L86" s="18" t="str">
        <f aca="false">IF(OR(A86="",G86=""),"",IF(ABS(G86)&lt;=Lists!$E$6,"Good (Aligned)",IF(ABS(G86)&lt;=Lists!$E$2,"Moderate Gap","Bad (Inflated)")))</f>
        <v/>
      </c>
    </row>
    <row r="87" customFormat="false" ht="14.25" hidden="false" customHeight="true" outlineLevel="0" collapsed="false">
      <c r="A87" s="14" t="str">
        <f aca="false">IF(Films!A87="","",Films!A87)</f>
        <v/>
      </c>
      <c r="B87" s="14" t="str">
        <f aca="false">IF(A87="","",Films!B87)</f>
        <v/>
      </c>
      <c r="C87" s="15" t="str">
        <f aca="false">IF(A87="","",Films!C87)</f>
        <v/>
      </c>
      <c r="D87" s="14" t="str">
        <f aca="false">IF(A87="","",IF(COUNTIFS('Daily Log'!$B$2:$B$500,A87)=0,"",_xlfn.MAXIFS('Daily Log'!$D$2:$D$500,'Daily Log'!$B$2:$B$500,A87)))</f>
        <v/>
      </c>
      <c r="E87" s="16" t="str">
        <f aca="false">IF(A87="","",IFERROR(AVERAGEIFS('Daily Log'!$E$2:$E$500,'Daily Log'!$B$2:$B$500,$A87,'Daily Log'!$F$2:$F$500,"Net India",'Daily Log'!$D$2:$D$500,1,'Daily Log'!$H$2:$H$500,"Trade estimate"),IFERROR(AVERAGEIFS('Daily Log'!$E$2:$E$500,'Daily Log'!$B$2:$B$500,$A87,'Daily Log'!$F$2:$F$500,"Net India",'Daily Log'!$D$2:$D$500,D87,'Daily Log'!$H$2:$H$500,"Trade estimate"),"")))</f>
        <v/>
      </c>
      <c r="F87" s="16" t="str">
        <f aca="false">IF(A87="","",IFERROR(AVERAGEIFS('Daily Log'!$E$2:$E$500,'Daily Log'!$B$2:$B$500,$A87,'Daily Log'!$F$2:$F$500,"Net India",'Daily Log'!$D$2:$D$500,1,'Daily Log'!$H$2:$H$500,"Producer-reported"),IFERROR(AVERAGEIFS('Daily Log'!$E$2:$E$500,'Daily Log'!$B$2:$B$500,$A87,'Daily Log'!$F$2:$F$500,"Net India",'Daily Log'!$D$2:$D$500,D87,'Daily Log'!$H$2:$H$500,"Producer-reported"),"")))</f>
        <v/>
      </c>
      <c r="G87" s="17" t="str">
        <f aca="false">IF(OR(E87="",F87=""),"",IF(E87=0,"",F87/E87-1))</f>
        <v/>
      </c>
      <c r="H87" s="16" t="str">
        <f aca="false">IF(OR(A87="",D87=""),"",IFERROR(AVERAGEIFS('Daily Log'!$E$2:$E$500,'Daily Log'!$B$2:$B$500,$A87,'Daily Log'!$F$2:$F$500,"Net India",'Daily Log'!$D$2:$D$500,D87,'Daily Log'!$H$2:$H$500,"Trade estimate"),""))</f>
        <v/>
      </c>
      <c r="I87" s="17" t="str">
        <f aca="false">IF(A87="","",IF(COUNTIFS('Daily Log'!$B$2:$B$500,$A87,'Daily Log'!$F$2:$F$500,"Net India",'Daily Log'!$H$2:$H$500,"Trade estimate",'Daily Log'!$J$2:$J$500,"&gt;=2")=0,"",AVERAGEIFS('Daily Log'!$M$2:$M$500,'Daily Log'!$B$2:$B$500,$A87,'Daily Log'!$F$2:$F$500,"Net India",'Daily Log'!$H$2:$H$500,"Trade estimate",'Daily Log'!$J$2:$J$500,"&gt;=2")))</f>
        <v/>
      </c>
      <c r="J87" s="17" t="str">
        <f aca="false">IF(I87="","",_xlfn.MAXIFS('Daily Log'!$M$2:$M$500,'Daily Log'!$B$2:$B$500,$A87,'Daily Log'!$F$2:$F$500,"Net India",'Daily Log'!$H$2:$H$500,"Trade estimate",'Daily Log'!$J$2:$J$500,"&gt;=2"))</f>
        <v/>
      </c>
      <c r="K87" s="18" t="str">
        <f aca="false">IF(A87="","",IF(I87="","Needs 2+ trade sources",IF(I87&lt;=Lists!$E$6,"Good",IF(I87&lt;=Lists!$E$2,"Moderate","Bad"))))</f>
        <v/>
      </c>
      <c r="L87" s="18" t="str">
        <f aca="false">IF(OR(A87="",G87=""),"",IF(ABS(G87)&lt;=Lists!$E$6,"Good (Aligned)",IF(ABS(G87)&lt;=Lists!$E$2,"Moderate Gap","Bad (Inflated)")))</f>
        <v/>
      </c>
    </row>
    <row r="88" customFormat="false" ht="14.25" hidden="false" customHeight="true" outlineLevel="0" collapsed="false">
      <c r="A88" s="14" t="str">
        <f aca="false">IF(Films!A88="","",Films!A88)</f>
        <v/>
      </c>
      <c r="B88" s="14" t="str">
        <f aca="false">IF(A88="","",Films!B88)</f>
        <v/>
      </c>
      <c r="C88" s="15" t="str">
        <f aca="false">IF(A88="","",Films!C88)</f>
        <v/>
      </c>
      <c r="D88" s="14" t="str">
        <f aca="false">IF(A88="","",IF(COUNTIFS('Daily Log'!$B$2:$B$500,A88)=0,"",_xlfn.MAXIFS('Daily Log'!$D$2:$D$500,'Daily Log'!$B$2:$B$500,A88)))</f>
        <v/>
      </c>
      <c r="E88" s="16" t="str">
        <f aca="false">IF(A88="","",IFERROR(AVERAGEIFS('Daily Log'!$E$2:$E$500,'Daily Log'!$B$2:$B$500,$A88,'Daily Log'!$F$2:$F$500,"Net India",'Daily Log'!$D$2:$D$500,1,'Daily Log'!$H$2:$H$500,"Trade estimate"),IFERROR(AVERAGEIFS('Daily Log'!$E$2:$E$500,'Daily Log'!$B$2:$B$500,$A88,'Daily Log'!$F$2:$F$500,"Net India",'Daily Log'!$D$2:$D$500,D88,'Daily Log'!$H$2:$H$500,"Trade estimate"),"")))</f>
        <v/>
      </c>
      <c r="F88" s="16" t="str">
        <f aca="false">IF(A88="","",IFERROR(AVERAGEIFS('Daily Log'!$E$2:$E$500,'Daily Log'!$B$2:$B$500,$A88,'Daily Log'!$F$2:$F$500,"Net India",'Daily Log'!$D$2:$D$500,1,'Daily Log'!$H$2:$H$500,"Producer-reported"),IFERROR(AVERAGEIFS('Daily Log'!$E$2:$E$500,'Daily Log'!$B$2:$B$500,$A88,'Daily Log'!$F$2:$F$500,"Net India",'Daily Log'!$D$2:$D$500,D88,'Daily Log'!$H$2:$H$500,"Producer-reported"),"")))</f>
        <v/>
      </c>
      <c r="G88" s="17" t="str">
        <f aca="false">IF(OR(E88="",F88=""),"",IF(E88=0,"",F88/E88-1))</f>
        <v/>
      </c>
      <c r="H88" s="16" t="str">
        <f aca="false">IF(OR(A88="",D88=""),"",IFERROR(AVERAGEIFS('Daily Log'!$E$2:$E$500,'Daily Log'!$B$2:$B$500,$A88,'Daily Log'!$F$2:$F$500,"Net India",'Daily Log'!$D$2:$D$500,D88,'Daily Log'!$H$2:$H$500,"Trade estimate"),""))</f>
        <v/>
      </c>
      <c r="I88" s="17" t="str">
        <f aca="false">IF(A88="","",IF(COUNTIFS('Daily Log'!$B$2:$B$500,$A88,'Daily Log'!$F$2:$F$500,"Net India",'Daily Log'!$H$2:$H$500,"Trade estimate",'Daily Log'!$J$2:$J$500,"&gt;=2")=0,"",AVERAGEIFS('Daily Log'!$M$2:$M$500,'Daily Log'!$B$2:$B$500,$A88,'Daily Log'!$F$2:$F$500,"Net India",'Daily Log'!$H$2:$H$500,"Trade estimate",'Daily Log'!$J$2:$J$500,"&gt;=2")))</f>
        <v/>
      </c>
      <c r="J88" s="17" t="str">
        <f aca="false">IF(I88="","",_xlfn.MAXIFS('Daily Log'!$M$2:$M$500,'Daily Log'!$B$2:$B$500,$A88,'Daily Log'!$F$2:$F$500,"Net India",'Daily Log'!$H$2:$H$500,"Trade estimate",'Daily Log'!$J$2:$J$500,"&gt;=2"))</f>
        <v/>
      </c>
      <c r="K88" s="18" t="str">
        <f aca="false">IF(A88="","",IF(I88="","Needs 2+ trade sources",IF(I88&lt;=Lists!$E$6,"Good",IF(I88&lt;=Lists!$E$2,"Moderate","Bad"))))</f>
        <v/>
      </c>
      <c r="L88" s="18" t="str">
        <f aca="false">IF(OR(A88="",G88=""),"",IF(ABS(G88)&lt;=Lists!$E$6,"Good (Aligned)",IF(ABS(G88)&lt;=Lists!$E$2,"Moderate Gap","Bad (Inflated)")))</f>
        <v/>
      </c>
    </row>
    <row r="89" customFormat="false" ht="14.25" hidden="false" customHeight="true" outlineLevel="0" collapsed="false">
      <c r="A89" s="14" t="str">
        <f aca="false">IF(Films!A89="","",Films!A89)</f>
        <v/>
      </c>
      <c r="B89" s="14" t="str">
        <f aca="false">IF(A89="","",Films!B89)</f>
        <v/>
      </c>
      <c r="C89" s="15" t="str">
        <f aca="false">IF(A89="","",Films!C89)</f>
        <v/>
      </c>
      <c r="D89" s="14" t="str">
        <f aca="false">IF(A89="","",IF(COUNTIFS('Daily Log'!$B$2:$B$500,A89)=0,"",_xlfn.MAXIFS('Daily Log'!$D$2:$D$500,'Daily Log'!$B$2:$B$500,A89)))</f>
        <v/>
      </c>
      <c r="E89" s="16" t="str">
        <f aca="false">IF(A89="","",IFERROR(AVERAGEIFS('Daily Log'!$E$2:$E$500,'Daily Log'!$B$2:$B$500,$A89,'Daily Log'!$F$2:$F$500,"Net India",'Daily Log'!$D$2:$D$500,1,'Daily Log'!$H$2:$H$500,"Trade estimate"),IFERROR(AVERAGEIFS('Daily Log'!$E$2:$E$500,'Daily Log'!$B$2:$B$500,$A89,'Daily Log'!$F$2:$F$500,"Net India",'Daily Log'!$D$2:$D$500,D89,'Daily Log'!$H$2:$H$500,"Trade estimate"),"")))</f>
        <v/>
      </c>
      <c r="F89" s="16" t="str">
        <f aca="false">IF(A89="","",IFERROR(AVERAGEIFS('Daily Log'!$E$2:$E$500,'Daily Log'!$B$2:$B$500,$A89,'Daily Log'!$F$2:$F$500,"Net India",'Daily Log'!$D$2:$D$500,1,'Daily Log'!$H$2:$H$500,"Producer-reported"),IFERROR(AVERAGEIFS('Daily Log'!$E$2:$E$500,'Daily Log'!$B$2:$B$500,$A89,'Daily Log'!$F$2:$F$500,"Net India",'Daily Log'!$D$2:$D$500,D89,'Daily Log'!$H$2:$H$500,"Producer-reported"),"")))</f>
        <v/>
      </c>
      <c r="G89" s="17" t="str">
        <f aca="false">IF(OR(E89="",F89=""),"",IF(E89=0,"",F89/E89-1))</f>
        <v/>
      </c>
      <c r="H89" s="16" t="str">
        <f aca="false">IF(OR(A89="",D89=""),"",IFERROR(AVERAGEIFS('Daily Log'!$E$2:$E$500,'Daily Log'!$B$2:$B$500,$A89,'Daily Log'!$F$2:$F$500,"Net India",'Daily Log'!$D$2:$D$500,D89,'Daily Log'!$H$2:$H$500,"Trade estimate"),""))</f>
        <v/>
      </c>
      <c r="I89" s="17" t="str">
        <f aca="false">IF(A89="","",IF(COUNTIFS('Daily Log'!$B$2:$B$500,$A89,'Daily Log'!$F$2:$F$500,"Net India",'Daily Log'!$H$2:$H$500,"Trade estimate",'Daily Log'!$J$2:$J$500,"&gt;=2")=0,"",AVERAGEIFS('Daily Log'!$M$2:$M$500,'Daily Log'!$B$2:$B$500,$A89,'Daily Log'!$F$2:$F$500,"Net India",'Daily Log'!$H$2:$H$500,"Trade estimate",'Daily Log'!$J$2:$J$500,"&gt;=2")))</f>
        <v/>
      </c>
      <c r="J89" s="17" t="str">
        <f aca="false">IF(I89="","",_xlfn.MAXIFS('Daily Log'!$M$2:$M$500,'Daily Log'!$B$2:$B$500,$A89,'Daily Log'!$F$2:$F$500,"Net India",'Daily Log'!$H$2:$H$500,"Trade estimate",'Daily Log'!$J$2:$J$500,"&gt;=2"))</f>
        <v/>
      </c>
      <c r="K89" s="18" t="str">
        <f aca="false">IF(A89="","",IF(I89="","Needs 2+ trade sources",IF(I89&lt;=Lists!$E$6,"Good",IF(I89&lt;=Lists!$E$2,"Moderate","Bad"))))</f>
        <v/>
      </c>
      <c r="L89" s="18" t="str">
        <f aca="false">IF(OR(A89="",G89=""),"",IF(ABS(G89)&lt;=Lists!$E$6,"Good (Aligned)",IF(ABS(G89)&lt;=Lists!$E$2,"Moderate Gap","Bad (Inflated)")))</f>
        <v/>
      </c>
    </row>
    <row r="90" customFormat="false" ht="14.25" hidden="false" customHeight="true" outlineLevel="0" collapsed="false">
      <c r="A90" s="14" t="str">
        <f aca="false">IF(Films!A90="","",Films!A90)</f>
        <v/>
      </c>
      <c r="B90" s="14" t="str">
        <f aca="false">IF(A90="","",Films!B90)</f>
        <v/>
      </c>
      <c r="C90" s="15" t="str">
        <f aca="false">IF(A90="","",Films!C90)</f>
        <v/>
      </c>
      <c r="D90" s="14" t="str">
        <f aca="false">IF(A90="","",IF(COUNTIFS('Daily Log'!$B$2:$B$500,A90)=0,"",_xlfn.MAXIFS('Daily Log'!$D$2:$D$500,'Daily Log'!$B$2:$B$500,A90)))</f>
        <v/>
      </c>
      <c r="E90" s="16" t="str">
        <f aca="false">IF(A90="","",IFERROR(AVERAGEIFS('Daily Log'!$E$2:$E$500,'Daily Log'!$B$2:$B$500,$A90,'Daily Log'!$F$2:$F$500,"Net India",'Daily Log'!$D$2:$D$500,1,'Daily Log'!$H$2:$H$500,"Trade estimate"),IFERROR(AVERAGEIFS('Daily Log'!$E$2:$E$500,'Daily Log'!$B$2:$B$500,$A90,'Daily Log'!$F$2:$F$500,"Net India",'Daily Log'!$D$2:$D$500,D90,'Daily Log'!$H$2:$H$500,"Trade estimate"),"")))</f>
        <v/>
      </c>
      <c r="F90" s="16" t="str">
        <f aca="false">IF(A90="","",IFERROR(AVERAGEIFS('Daily Log'!$E$2:$E$500,'Daily Log'!$B$2:$B$500,$A90,'Daily Log'!$F$2:$F$500,"Net India",'Daily Log'!$D$2:$D$500,1,'Daily Log'!$H$2:$H$500,"Producer-reported"),IFERROR(AVERAGEIFS('Daily Log'!$E$2:$E$500,'Daily Log'!$B$2:$B$500,$A90,'Daily Log'!$F$2:$F$500,"Net India",'Daily Log'!$D$2:$D$500,D90,'Daily Log'!$H$2:$H$500,"Producer-reported"),"")))</f>
        <v/>
      </c>
      <c r="G90" s="17" t="str">
        <f aca="false">IF(OR(E90="",F90=""),"",IF(E90=0,"",F90/E90-1))</f>
        <v/>
      </c>
      <c r="H90" s="16" t="str">
        <f aca="false">IF(OR(A90="",D90=""),"",IFERROR(AVERAGEIFS('Daily Log'!$E$2:$E$500,'Daily Log'!$B$2:$B$500,$A90,'Daily Log'!$F$2:$F$500,"Net India",'Daily Log'!$D$2:$D$500,D90,'Daily Log'!$H$2:$H$500,"Trade estimate"),""))</f>
        <v/>
      </c>
      <c r="I90" s="17" t="str">
        <f aca="false">IF(A90="","",IF(COUNTIFS('Daily Log'!$B$2:$B$500,$A90,'Daily Log'!$F$2:$F$500,"Net India",'Daily Log'!$H$2:$H$500,"Trade estimate",'Daily Log'!$J$2:$J$500,"&gt;=2")=0,"",AVERAGEIFS('Daily Log'!$M$2:$M$500,'Daily Log'!$B$2:$B$500,$A90,'Daily Log'!$F$2:$F$500,"Net India",'Daily Log'!$H$2:$H$500,"Trade estimate",'Daily Log'!$J$2:$J$500,"&gt;=2")))</f>
        <v/>
      </c>
      <c r="J90" s="17" t="str">
        <f aca="false">IF(I90="","",_xlfn.MAXIFS('Daily Log'!$M$2:$M$500,'Daily Log'!$B$2:$B$500,$A90,'Daily Log'!$F$2:$F$500,"Net India",'Daily Log'!$H$2:$H$500,"Trade estimate",'Daily Log'!$J$2:$J$500,"&gt;=2"))</f>
        <v/>
      </c>
      <c r="K90" s="18" t="str">
        <f aca="false">IF(A90="","",IF(I90="","Needs 2+ trade sources",IF(I90&lt;=Lists!$E$6,"Good",IF(I90&lt;=Lists!$E$2,"Moderate","Bad"))))</f>
        <v/>
      </c>
      <c r="L90" s="18" t="str">
        <f aca="false">IF(OR(A90="",G90=""),"",IF(ABS(G90)&lt;=Lists!$E$6,"Good (Aligned)",IF(ABS(G90)&lt;=Lists!$E$2,"Moderate Gap","Bad (Inflated)")))</f>
        <v/>
      </c>
    </row>
    <row r="91" customFormat="false" ht="14.25" hidden="false" customHeight="true" outlineLevel="0" collapsed="false">
      <c r="A91" s="14" t="str">
        <f aca="false">IF(Films!A91="","",Films!A91)</f>
        <v/>
      </c>
      <c r="B91" s="14" t="str">
        <f aca="false">IF(A91="","",Films!B91)</f>
        <v/>
      </c>
      <c r="C91" s="15" t="str">
        <f aca="false">IF(A91="","",Films!C91)</f>
        <v/>
      </c>
      <c r="D91" s="14" t="str">
        <f aca="false">IF(A91="","",IF(COUNTIFS('Daily Log'!$B$2:$B$500,A91)=0,"",_xlfn.MAXIFS('Daily Log'!$D$2:$D$500,'Daily Log'!$B$2:$B$500,A91)))</f>
        <v/>
      </c>
      <c r="E91" s="16" t="str">
        <f aca="false">IF(A91="","",IFERROR(AVERAGEIFS('Daily Log'!$E$2:$E$500,'Daily Log'!$B$2:$B$500,$A91,'Daily Log'!$F$2:$F$500,"Net India",'Daily Log'!$D$2:$D$500,1,'Daily Log'!$H$2:$H$500,"Trade estimate"),IFERROR(AVERAGEIFS('Daily Log'!$E$2:$E$500,'Daily Log'!$B$2:$B$500,$A91,'Daily Log'!$F$2:$F$500,"Net India",'Daily Log'!$D$2:$D$500,D91,'Daily Log'!$H$2:$H$500,"Trade estimate"),"")))</f>
        <v/>
      </c>
      <c r="F91" s="16" t="str">
        <f aca="false">IF(A91="","",IFERROR(AVERAGEIFS('Daily Log'!$E$2:$E$500,'Daily Log'!$B$2:$B$500,$A91,'Daily Log'!$F$2:$F$500,"Net India",'Daily Log'!$D$2:$D$500,1,'Daily Log'!$H$2:$H$500,"Producer-reported"),IFERROR(AVERAGEIFS('Daily Log'!$E$2:$E$500,'Daily Log'!$B$2:$B$500,$A91,'Daily Log'!$F$2:$F$500,"Net India",'Daily Log'!$D$2:$D$500,D91,'Daily Log'!$H$2:$H$500,"Producer-reported"),"")))</f>
        <v/>
      </c>
      <c r="G91" s="17" t="str">
        <f aca="false">IF(OR(E91="",F91=""),"",IF(E91=0,"",F91/E91-1))</f>
        <v/>
      </c>
      <c r="H91" s="16" t="str">
        <f aca="false">IF(OR(A91="",D91=""),"",IFERROR(AVERAGEIFS('Daily Log'!$E$2:$E$500,'Daily Log'!$B$2:$B$500,$A91,'Daily Log'!$F$2:$F$500,"Net India",'Daily Log'!$D$2:$D$500,D91,'Daily Log'!$H$2:$H$500,"Trade estimate"),""))</f>
        <v/>
      </c>
      <c r="I91" s="17" t="str">
        <f aca="false">IF(A91="","",IF(COUNTIFS('Daily Log'!$B$2:$B$500,$A91,'Daily Log'!$F$2:$F$500,"Net India",'Daily Log'!$H$2:$H$500,"Trade estimate",'Daily Log'!$J$2:$J$500,"&gt;=2")=0,"",AVERAGEIFS('Daily Log'!$M$2:$M$500,'Daily Log'!$B$2:$B$500,$A91,'Daily Log'!$F$2:$F$500,"Net India",'Daily Log'!$H$2:$H$500,"Trade estimate",'Daily Log'!$J$2:$J$500,"&gt;=2")))</f>
        <v/>
      </c>
      <c r="J91" s="17" t="str">
        <f aca="false">IF(I91="","",_xlfn.MAXIFS('Daily Log'!$M$2:$M$500,'Daily Log'!$B$2:$B$500,$A91,'Daily Log'!$F$2:$F$500,"Net India",'Daily Log'!$H$2:$H$500,"Trade estimate",'Daily Log'!$J$2:$J$500,"&gt;=2"))</f>
        <v/>
      </c>
      <c r="K91" s="18" t="str">
        <f aca="false">IF(A91="","",IF(I91="","Needs 2+ trade sources",IF(I91&lt;=Lists!$E$6,"Good",IF(I91&lt;=Lists!$E$2,"Moderate","Bad"))))</f>
        <v/>
      </c>
      <c r="L91" s="18" t="str">
        <f aca="false">IF(OR(A91="",G91=""),"",IF(ABS(G91)&lt;=Lists!$E$6,"Good (Aligned)",IF(ABS(G91)&lt;=Lists!$E$2,"Moderate Gap","Bad (Inflated)")))</f>
        <v/>
      </c>
    </row>
    <row r="92" customFormat="false" ht="14.25" hidden="false" customHeight="true" outlineLevel="0" collapsed="false">
      <c r="A92" s="14" t="str">
        <f aca="false">IF(Films!A92="","",Films!A92)</f>
        <v/>
      </c>
      <c r="B92" s="14" t="str">
        <f aca="false">IF(A92="","",Films!B92)</f>
        <v/>
      </c>
      <c r="C92" s="15" t="str">
        <f aca="false">IF(A92="","",Films!C92)</f>
        <v/>
      </c>
      <c r="D92" s="14" t="str">
        <f aca="false">IF(A92="","",IF(COUNTIFS('Daily Log'!$B$2:$B$500,A92)=0,"",_xlfn.MAXIFS('Daily Log'!$D$2:$D$500,'Daily Log'!$B$2:$B$500,A92)))</f>
        <v/>
      </c>
      <c r="E92" s="16" t="str">
        <f aca="false">IF(A92="","",IFERROR(AVERAGEIFS('Daily Log'!$E$2:$E$500,'Daily Log'!$B$2:$B$500,$A92,'Daily Log'!$F$2:$F$500,"Net India",'Daily Log'!$D$2:$D$500,1,'Daily Log'!$H$2:$H$500,"Trade estimate"),IFERROR(AVERAGEIFS('Daily Log'!$E$2:$E$500,'Daily Log'!$B$2:$B$500,$A92,'Daily Log'!$F$2:$F$500,"Net India",'Daily Log'!$D$2:$D$500,D92,'Daily Log'!$H$2:$H$500,"Trade estimate"),"")))</f>
        <v/>
      </c>
      <c r="F92" s="16" t="str">
        <f aca="false">IF(A92="","",IFERROR(AVERAGEIFS('Daily Log'!$E$2:$E$500,'Daily Log'!$B$2:$B$500,$A92,'Daily Log'!$F$2:$F$500,"Net India",'Daily Log'!$D$2:$D$500,1,'Daily Log'!$H$2:$H$500,"Producer-reported"),IFERROR(AVERAGEIFS('Daily Log'!$E$2:$E$500,'Daily Log'!$B$2:$B$500,$A92,'Daily Log'!$F$2:$F$500,"Net India",'Daily Log'!$D$2:$D$500,D92,'Daily Log'!$H$2:$H$500,"Producer-reported"),"")))</f>
        <v/>
      </c>
      <c r="G92" s="17" t="str">
        <f aca="false">IF(OR(E92="",F92=""),"",IF(E92=0,"",F92/E92-1))</f>
        <v/>
      </c>
      <c r="H92" s="16" t="str">
        <f aca="false">IF(OR(A92="",D92=""),"",IFERROR(AVERAGEIFS('Daily Log'!$E$2:$E$500,'Daily Log'!$B$2:$B$500,$A92,'Daily Log'!$F$2:$F$500,"Net India",'Daily Log'!$D$2:$D$500,D92,'Daily Log'!$H$2:$H$500,"Trade estimate"),""))</f>
        <v/>
      </c>
      <c r="I92" s="17" t="str">
        <f aca="false">IF(A92="","",IF(COUNTIFS('Daily Log'!$B$2:$B$500,$A92,'Daily Log'!$F$2:$F$500,"Net India",'Daily Log'!$H$2:$H$500,"Trade estimate",'Daily Log'!$J$2:$J$500,"&gt;=2")=0,"",AVERAGEIFS('Daily Log'!$M$2:$M$500,'Daily Log'!$B$2:$B$500,$A92,'Daily Log'!$F$2:$F$500,"Net India",'Daily Log'!$H$2:$H$500,"Trade estimate",'Daily Log'!$J$2:$J$500,"&gt;=2")))</f>
        <v/>
      </c>
      <c r="J92" s="17" t="str">
        <f aca="false">IF(I92="","",_xlfn.MAXIFS('Daily Log'!$M$2:$M$500,'Daily Log'!$B$2:$B$500,$A92,'Daily Log'!$F$2:$F$500,"Net India",'Daily Log'!$H$2:$H$500,"Trade estimate",'Daily Log'!$J$2:$J$500,"&gt;=2"))</f>
        <v/>
      </c>
      <c r="K92" s="18" t="str">
        <f aca="false">IF(A92="","",IF(I92="","Needs 2+ trade sources",IF(I92&lt;=Lists!$E$6,"Good",IF(I92&lt;=Lists!$E$2,"Moderate","Bad"))))</f>
        <v/>
      </c>
      <c r="L92" s="18" t="str">
        <f aca="false">IF(OR(A92="",G92=""),"",IF(ABS(G92)&lt;=Lists!$E$6,"Good (Aligned)",IF(ABS(G92)&lt;=Lists!$E$2,"Moderate Gap","Bad (Inflated)")))</f>
        <v/>
      </c>
    </row>
    <row r="93" customFormat="false" ht="14.25" hidden="false" customHeight="true" outlineLevel="0" collapsed="false">
      <c r="A93" s="14" t="str">
        <f aca="false">IF(Films!A93="","",Films!A93)</f>
        <v/>
      </c>
      <c r="B93" s="14" t="str">
        <f aca="false">IF(A93="","",Films!B93)</f>
        <v/>
      </c>
      <c r="C93" s="15" t="str">
        <f aca="false">IF(A93="","",Films!C93)</f>
        <v/>
      </c>
      <c r="D93" s="14" t="str">
        <f aca="false">IF(A93="","",IF(COUNTIFS('Daily Log'!$B$2:$B$500,A93)=0,"",_xlfn.MAXIFS('Daily Log'!$D$2:$D$500,'Daily Log'!$B$2:$B$500,A93)))</f>
        <v/>
      </c>
      <c r="E93" s="16" t="str">
        <f aca="false">IF(A93="","",IFERROR(AVERAGEIFS('Daily Log'!$E$2:$E$500,'Daily Log'!$B$2:$B$500,$A93,'Daily Log'!$F$2:$F$500,"Net India",'Daily Log'!$D$2:$D$500,1,'Daily Log'!$H$2:$H$500,"Trade estimate"),IFERROR(AVERAGEIFS('Daily Log'!$E$2:$E$500,'Daily Log'!$B$2:$B$500,$A93,'Daily Log'!$F$2:$F$500,"Net India",'Daily Log'!$D$2:$D$500,D93,'Daily Log'!$H$2:$H$500,"Trade estimate"),"")))</f>
        <v/>
      </c>
      <c r="F93" s="16" t="str">
        <f aca="false">IF(A93="","",IFERROR(AVERAGEIFS('Daily Log'!$E$2:$E$500,'Daily Log'!$B$2:$B$500,$A93,'Daily Log'!$F$2:$F$500,"Net India",'Daily Log'!$D$2:$D$500,1,'Daily Log'!$H$2:$H$500,"Producer-reported"),IFERROR(AVERAGEIFS('Daily Log'!$E$2:$E$500,'Daily Log'!$B$2:$B$500,$A93,'Daily Log'!$F$2:$F$500,"Net India",'Daily Log'!$D$2:$D$500,D93,'Daily Log'!$H$2:$H$500,"Producer-reported"),"")))</f>
        <v/>
      </c>
      <c r="G93" s="17" t="str">
        <f aca="false">IF(OR(E93="",F93=""),"",IF(E93=0,"",F93/E93-1))</f>
        <v/>
      </c>
      <c r="H93" s="16" t="str">
        <f aca="false">IF(OR(A93="",D93=""),"",IFERROR(AVERAGEIFS('Daily Log'!$E$2:$E$500,'Daily Log'!$B$2:$B$500,$A93,'Daily Log'!$F$2:$F$500,"Net India",'Daily Log'!$D$2:$D$500,D93,'Daily Log'!$H$2:$H$500,"Trade estimate"),""))</f>
        <v/>
      </c>
      <c r="I93" s="17" t="str">
        <f aca="false">IF(A93="","",IF(COUNTIFS('Daily Log'!$B$2:$B$500,$A93,'Daily Log'!$F$2:$F$500,"Net India",'Daily Log'!$H$2:$H$500,"Trade estimate",'Daily Log'!$J$2:$J$500,"&gt;=2")=0,"",AVERAGEIFS('Daily Log'!$M$2:$M$500,'Daily Log'!$B$2:$B$500,$A93,'Daily Log'!$F$2:$F$500,"Net India",'Daily Log'!$H$2:$H$500,"Trade estimate",'Daily Log'!$J$2:$J$500,"&gt;=2")))</f>
        <v/>
      </c>
      <c r="J93" s="17" t="str">
        <f aca="false">IF(I93="","",_xlfn.MAXIFS('Daily Log'!$M$2:$M$500,'Daily Log'!$B$2:$B$500,$A93,'Daily Log'!$F$2:$F$500,"Net India",'Daily Log'!$H$2:$H$500,"Trade estimate",'Daily Log'!$J$2:$J$500,"&gt;=2"))</f>
        <v/>
      </c>
      <c r="K93" s="18" t="str">
        <f aca="false">IF(A93="","",IF(I93="","Needs 2+ trade sources",IF(I93&lt;=Lists!$E$6,"Good",IF(I93&lt;=Lists!$E$2,"Moderate","Bad"))))</f>
        <v/>
      </c>
      <c r="L93" s="18" t="str">
        <f aca="false">IF(OR(A93="",G93=""),"",IF(ABS(G93)&lt;=Lists!$E$6,"Good (Aligned)",IF(ABS(G93)&lt;=Lists!$E$2,"Moderate Gap","Bad (Inflated)")))</f>
        <v/>
      </c>
    </row>
    <row r="94" customFormat="false" ht="14.25" hidden="false" customHeight="true" outlineLevel="0" collapsed="false">
      <c r="A94" s="14" t="str">
        <f aca="false">IF(Films!A94="","",Films!A94)</f>
        <v/>
      </c>
      <c r="B94" s="14" t="str">
        <f aca="false">IF(A94="","",Films!B94)</f>
        <v/>
      </c>
      <c r="C94" s="15" t="str">
        <f aca="false">IF(A94="","",Films!C94)</f>
        <v/>
      </c>
      <c r="D94" s="14" t="str">
        <f aca="false">IF(A94="","",IF(COUNTIFS('Daily Log'!$B$2:$B$500,A94)=0,"",_xlfn.MAXIFS('Daily Log'!$D$2:$D$500,'Daily Log'!$B$2:$B$500,A94)))</f>
        <v/>
      </c>
      <c r="E94" s="16" t="str">
        <f aca="false">IF(A94="","",IFERROR(AVERAGEIFS('Daily Log'!$E$2:$E$500,'Daily Log'!$B$2:$B$500,$A94,'Daily Log'!$F$2:$F$500,"Net India",'Daily Log'!$D$2:$D$500,1,'Daily Log'!$H$2:$H$500,"Trade estimate"),IFERROR(AVERAGEIFS('Daily Log'!$E$2:$E$500,'Daily Log'!$B$2:$B$500,$A94,'Daily Log'!$F$2:$F$500,"Net India",'Daily Log'!$D$2:$D$500,D94,'Daily Log'!$H$2:$H$500,"Trade estimate"),"")))</f>
        <v/>
      </c>
      <c r="F94" s="16" t="str">
        <f aca="false">IF(A94="","",IFERROR(AVERAGEIFS('Daily Log'!$E$2:$E$500,'Daily Log'!$B$2:$B$500,$A94,'Daily Log'!$F$2:$F$500,"Net India",'Daily Log'!$D$2:$D$500,1,'Daily Log'!$H$2:$H$500,"Producer-reported"),IFERROR(AVERAGEIFS('Daily Log'!$E$2:$E$500,'Daily Log'!$B$2:$B$500,$A94,'Daily Log'!$F$2:$F$500,"Net India",'Daily Log'!$D$2:$D$500,D94,'Daily Log'!$H$2:$H$500,"Producer-reported"),"")))</f>
        <v/>
      </c>
      <c r="G94" s="17" t="str">
        <f aca="false">IF(OR(E94="",F94=""),"",IF(E94=0,"",F94/E94-1))</f>
        <v/>
      </c>
      <c r="H94" s="16" t="str">
        <f aca="false">IF(OR(A94="",D94=""),"",IFERROR(AVERAGEIFS('Daily Log'!$E$2:$E$500,'Daily Log'!$B$2:$B$500,$A94,'Daily Log'!$F$2:$F$500,"Net India",'Daily Log'!$D$2:$D$500,D94,'Daily Log'!$H$2:$H$500,"Trade estimate"),""))</f>
        <v/>
      </c>
      <c r="I94" s="17" t="str">
        <f aca="false">IF(A94="","",IF(COUNTIFS('Daily Log'!$B$2:$B$500,$A94,'Daily Log'!$F$2:$F$500,"Net India",'Daily Log'!$H$2:$H$500,"Trade estimate",'Daily Log'!$J$2:$J$500,"&gt;=2")=0,"",AVERAGEIFS('Daily Log'!$M$2:$M$500,'Daily Log'!$B$2:$B$500,$A94,'Daily Log'!$F$2:$F$500,"Net India",'Daily Log'!$H$2:$H$500,"Trade estimate",'Daily Log'!$J$2:$J$500,"&gt;=2")))</f>
        <v/>
      </c>
      <c r="J94" s="17" t="str">
        <f aca="false">IF(I94="","",_xlfn.MAXIFS('Daily Log'!$M$2:$M$500,'Daily Log'!$B$2:$B$500,$A94,'Daily Log'!$F$2:$F$500,"Net India",'Daily Log'!$H$2:$H$500,"Trade estimate",'Daily Log'!$J$2:$J$500,"&gt;=2"))</f>
        <v/>
      </c>
      <c r="K94" s="18" t="str">
        <f aca="false">IF(A94="","",IF(I94="","Needs 2+ trade sources",IF(I94&lt;=Lists!$E$6,"Good",IF(I94&lt;=Lists!$E$2,"Moderate","Bad"))))</f>
        <v/>
      </c>
      <c r="L94" s="18" t="str">
        <f aca="false">IF(OR(A94="",G94=""),"",IF(ABS(G94)&lt;=Lists!$E$6,"Good (Aligned)",IF(ABS(G94)&lt;=Lists!$E$2,"Moderate Gap","Bad (Inflated)")))</f>
        <v/>
      </c>
    </row>
    <row r="95" customFormat="false" ht="14.25" hidden="false" customHeight="true" outlineLevel="0" collapsed="false">
      <c r="A95" s="14" t="str">
        <f aca="false">IF(Films!A95="","",Films!A95)</f>
        <v/>
      </c>
      <c r="B95" s="14" t="str">
        <f aca="false">IF(A95="","",Films!B95)</f>
        <v/>
      </c>
      <c r="C95" s="15" t="str">
        <f aca="false">IF(A95="","",Films!C95)</f>
        <v/>
      </c>
      <c r="D95" s="14" t="str">
        <f aca="false">IF(A95="","",IF(COUNTIFS('Daily Log'!$B$2:$B$500,A95)=0,"",_xlfn.MAXIFS('Daily Log'!$D$2:$D$500,'Daily Log'!$B$2:$B$500,A95)))</f>
        <v/>
      </c>
      <c r="E95" s="16" t="str">
        <f aca="false">IF(A95="","",IFERROR(AVERAGEIFS('Daily Log'!$E$2:$E$500,'Daily Log'!$B$2:$B$500,$A95,'Daily Log'!$F$2:$F$500,"Net India",'Daily Log'!$D$2:$D$500,1,'Daily Log'!$H$2:$H$500,"Trade estimate"),IFERROR(AVERAGEIFS('Daily Log'!$E$2:$E$500,'Daily Log'!$B$2:$B$500,$A95,'Daily Log'!$F$2:$F$500,"Net India",'Daily Log'!$D$2:$D$500,D95,'Daily Log'!$H$2:$H$500,"Trade estimate"),"")))</f>
        <v/>
      </c>
      <c r="F95" s="16" t="str">
        <f aca="false">IF(A95="","",IFERROR(AVERAGEIFS('Daily Log'!$E$2:$E$500,'Daily Log'!$B$2:$B$500,$A95,'Daily Log'!$F$2:$F$500,"Net India",'Daily Log'!$D$2:$D$500,1,'Daily Log'!$H$2:$H$500,"Producer-reported"),IFERROR(AVERAGEIFS('Daily Log'!$E$2:$E$500,'Daily Log'!$B$2:$B$500,$A95,'Daily Log'!$F$2:$F$500,"Net India",'Daily Log'!$D$2:$D$500,D95,'Daily Log'!$H$2:$H$500,"Producer-reported"),"")))</f>
        <v/>
      </c>
      <c r="G95" s="17" t="str">
        <f aca="false">IF(OR(E95="",F95=""),"",IF(E95=0,"",F95/E95-1))</f>
        <v/>
      </c>
      <c r="H95" s="16" t="str">
        <f aca="false">IF(OR(A95="",D95=""),"",IFERROR(AVERAGEIFS('Daily Log'!$E$2:$E$500,'Daily Log'!$B$2:$B$500,$A95,'Daily Log'!$F$2:$F$500,"Net India",'Daily Log'!$D$2:$D$500,D95,'Daily Log'!$H$2:$H$500,"Trade estimate"),""))</f>
        <v/>
      </c>
      <c r="I95" s="17" t="str">
        <f aca="false">IF(A95="","",IF(COUNTIFS('Daily Log'!$B$2:$B$500,$A95,'Daily Log'!$F$2:$F$500,"Net India",'Daily Log'!$H$2:$H$500,"Trade estimate",'Daily Log'!$J$2:$J$500,"&gt;=2")=0,"",AVERAGEIFS('Daily Log'!$M$2:$M$500,'Daily Log'!$B$2:$B$500,$A95,'Daily Log'!$F$2:$F$500,"Net India",'Daily Log'!$H$2:$H$500,"Trade estimate",'Daily Log'!$J$2:$J$500,"&gt;=2")))</f>
        <v/>
      </c>
      <c r="J95" s="17" t="str">
        <f aca="false">IF(I95="","",_xlfn.MAXIFS('Daily Log'!$M$2:$M$500,'Daily Log'!$B$2:$B$500,$A95,'Daily Log'!$F$2:$F$500,"Net India",'Daily Log'!$H$2:$H$500,"Trade estimate",'Daily Log'!$J$2:$J$500,"&gt;=2"))</f>
        <v/>
      </c>
      <c r="K95" s="18" t="str">
        <f aca="false">IF(A95="","",IF(I95="","Needs 2+ trade sources",IF(I95&lt;=Lists!$E$6,"Good",IF(I95&lt;=Lists!$E$2,"Moderate","Bad"))))</f>
        <v/>
      </c>
      <c r="L95" s="18" t="str">
        <f aca="false">IF(OR(A95="",G95=""),"",IF(ABS(G95)&lt;=Lists!$E$6,"Good (Aligned)",IF(ABS(G95)&lt;=Lists!$E$2,"Moderate Gap","Bad (Inflated)")))</f>
        <v/>
      </c>
    </row>
    <row r="96" customFormat="false" ht="14.25" hidden="false" customHeight="true" outlineLevel="0" collapsed="false">
      <c r="A96" s="14" t="str">
        <f aca="false">IF(Films!A96="","",Films!A96)</f>
        <v/>
      </c>
      <c r="B96" s="14" t="str">
        <f aca="false">IF(A96="","",Films!B96)</f>
        <v/>
      </c>
      <c r="C96" s="15" t="str">
        <f aca="false">IF(A96="","",Films!C96)</f>
        <v/>
      </c>
      <c r="D96" s="14" t="str">
        <f aca="false">IF(A96="","",IF(COUNTIFS('Daily Log'!$B$2:$B$500,A96)=0,"",_xlfn.MAXIFS('Daily Log'!$D$2:$D$500,'Daily Log'!$B$2:$B$500,A96)))</f>
        <v/>
      </c>
      <c r="E96" s="16" t="str">
        <f aca="false">IF(A96="","",IFERROR(AVERAGEIFS('Daily Log'!$E$2:$E$500,'Daily Log'!$B$2:$B$500,$A96,'Daily Log'!$F$2:$F$500,"Net India",'Daily Log'!$D$2:$D$500,1,'Daily Log'!$H$2:$H$500,"Trade estimate"),IFERROR(AVERAGEIFS('Daily Log'!$E$2:$E$500,'Daily Log'!$B$2:$B$500,$A96,'Daily Log'!$F$2:$F$500,"Net India",'Daily Log'!$D$2:$D$500,D96,'Daily Log'!$H$2:$H$500,"Trade estimate"),"")))</f>
        <v/>
      </c>
      <c r="F96" s="16" t="str">
        <f aca="false">IF(A96="","",IFERROR(AVERAGEIFS('Daily Log'!$E$2:$E$500,'Daily Log'!$B$2:$B$500,$A96,'Daily Log'!$F$2:$F$500,"Net India",'Daily Log'!$D$2:$D$500,1,'Daily Log'!$H$2:$H$500,"Producer-reported"),IFERROR(AVERAGEIFS('Daily Log'!$E$2:$E$500,'Daily Log'!$B$2:$B$500,$A96,'Daily Log'!$F$2:$F$500,"Net India",'Daily Log'!$D$2:$D$500,D96,'Daily Log'!$H$2:$H$500,"Producer-reported"),"")))</f>
        <v/>
      </c>
      <c r="G96" s="17" t="str">
        <f aca="false">IF(OR(E96="",F96=""),"",IF(E96=0,"",F96/E96-1))</f>
        <v/>
      </c>
      <c r="H96" s="16" t="str">
        <f aca="false">IF(OR(A96="",D96=""),"",IFERROR(AVERAGEIFS('Daily Log'!$E$2:$E$500,'Daily Log'!$B$2:$B$500,$A96,'Daily Log'!$F$2:$F$500,"Net India",'Daily Log'!$D$2:$D$500,D96,'Daily Log'!$H$2:$H$500,"Trade estimate"),""))</f>
        <v/>
      </c>
      <c r="I96" s="17" t="str">
        <f aca="false">IF(A96="","",IF(COUNTIFS('Daily Log'!$B$2:$B$500,$A96,'Daily Log'!$F$2:$F$500,"Net India",'Daily Log'!$H$2:$H$500,"Trade estimate",'Daily Log'!$J$2:$J$500,"&gt;=2")=0,"",AVERAGEIFS('Daily Log'!$M$2:$M$500,'Daily Log'!$B$2:$B$500,$A96,'Daily Log'!$F$2:$F$500,"Net India",'Daily Log'!$H$2:$H$500,"Trade estimate",'Daily Log'!$J$2:$J$500,"&gt;=2")))</f>
        <v/>
      </c>
      <c r="J96" s="17" t="str">
        <f aca="false">IF(I96="","",_xlfn.MAXIFS('Daily Log'!$M$2:$M$500,'Daily Log'!$B$2:$B$500,$A96,'Daily Log'!$F$2:$F$500,"Net India",'Daily Log'!$H$2:$H$500,"Trade estimate",'Daily Log'!$J$2:$J$500,"&gt;=2"))</f>
        <v/>
      </c>
      <c r="K96" s="18" t="str">
        <f aca="false">IF(A96="","",IF(I96="","Needs 2+ trade sources",IF(I96&lt;=Lists!$E$6,"Good",IF(I96&lt;=Lists!$E$2,"Moderate","Bad"))))</f>
        <v/>
      </c>
      <c r="L96" s="18" t="str">
        <f aca="false">IF(OR(A96="",G96=""),"",IF(ABS(G96)&lt;=Lists!$E$6,"Good (Aligned)",IF(ABS(G96)&lt;=Lists!$E$2,"Moderate Gap","Bad (Inflated)")))</f>
        <v/>
      </c>
    </row>
    <row r="97" customFormat="false" ht="14.25" hidden="false" customHeight="true" outlineLevel="0" collapsed="false">
      <c r="A97" s="14" t="str">
        <f aca="false">IF(Films!A97="","",Films!A97)</f>
        <v/>
      </c>
      <c r="B97" s="14" t="str">
        <f aca="false">IF(A97="","",Films!B97)</f>
        <v/>
      </c>
      <c r="C97" s="15" t="str">
        <f aca="false">IF(A97="","",Films!C97)</f>
        <v/>
      </c>
      <c r="D97" s="14" t="str">
        <f aca="false">IF(A97="","",IF(COUNTIFS('Daily Log'!$B$2:$B$500,A97)=0,"",_xlfn.MAXIFS('Daily Log'!$D$2:$D$500,'Daily Log'!$B$2:$B$500,A97)))</f>
        <v/>
      </c>
      <c r="E97" s="16" t="str">
        <f aca="false">IF(A97="","",IFERROR(AVERAGEIFS('Daily Log'!$E$2:$E$500,'Daily Log'!$B$2:$B$500,$A97,'Daily Log'!$F$2:$F$500,"Net India",'Daily Log'!$D$2:$D$500,1,'Daily Log'!$H$2:$H$500,"Trade estimate"),IFERROR(AVERAGEIFS('Daily Log'!$E$2:$E$500,'Daily Log'!$B$2:$B$500,$A97,'Daily Log'!$F$2:$F$500,"Net India",'Daily Log'!$D$2:$D$500,D97,'Daily Log'!$H$2:$H$500,"Trade estimate"),"")))</f>
        <v/>
      </c>
      <c r="F97" s="16" t="str">
        <f aca="false">IF(A97="","",IFERROR(AVERAGEIFS('Daily Log'!$E$2:$E$500,'Daily Log'!$B$2:$B$500,$A97,'Daily Log'!$F$2:$F$500,"Net India",'Daily Log'!$D$2:$D$500,1,'Daily Log'!$H$2:$H$500,"Producer-reported"),IFERROR(AVERAGEIFS('Daily Log'!$E$2:$E$500,'Daily Log'!$B$2:$B$500,$A97,'Daily Log'!$F$2:$F$500,"Net India",'Daily Log'!$D$2:$D$500,D97,'Daily Log'!$H$2:$H$500,"Producer-reported"),"")))</f>
        <v/>
      </c>
      <c r="G97" s="17" t="str">
        <f aca="false">IF(OR(E97="",F97=""),"",IF(E97=0,"",F97/E97-1))</f>
        <v/>
      </c>
      <c r="H97" s="16" t="str">
        <f aca="false">IF(OR(A97="",D97=""),"",IFERROR(AVERAGEIFS('Daily Log'!$E$2:$E$500,'Daily Log'!$B$2:$B$500,$A97,'Daily Log'!$F$2:$F$500,"Net India",'Daily Log'!$D$2:$D$500,D97,'Daily Log'!$H$2:$H$500,"Trade estimate"),""))</f>
        <v/>
      </c>
      <c r="I97" s="17" t="str">
        <f aca="false">IF(A97="","",IF(COUNTIFS('Daily Log'!$B$2:$B$500,$A97,'Daily Log'!$F$2:$F$500,"Net India",'Daily Log'!$H$2:$H$500,"Trade estimate",'Daily Log'!$J$2:$J$500,"&gt;=2")=0,"",AVERAGEIFS('Daily Log'!$M$2:$M$500,'Daily Log'!$B$2:$B$500,$A97,'Daily Log'!$F$2:$F$500,"Net India",'Daily Log'!$H$2:$H$500,"Trade estimate",'Daily Log'!$J$2:$J$500,"&gt;=2")))</f>
        <v/>
      </c>
      <c r="J97" s="17" t="str">
        <f aca="false">IF(I97="","",_xlfn.MAXIFS('Daily Log'!$M$2:$M$500,'Daily Log'!$B$2:$B$500,$A97,'Daily Log'!$F$2:$F$500,"Net India",'Daily Log'!$H$2:$H$500,"Trade estimate",'Daily Log'!$J$2:$J$500,"&gt;=2"))</f>
        <v/>
      </c>
      <c r="K97" s="18" t="str">
        <f aca="false">IF(A97="","",IF(I97="","Needs 2+ trade sources",IF(I97&lt;=Lists!$E$6,"Good",IF(I97&lt;=Lists!$E$2,"Moderate","Bad"))))</f>
        <v/>
      </c>
      <c r="L97" s="18" t="str">
        <f aca="false">IF(OR(A97="",G97=""),"",IF(ABS(G97)&lt;=Lists!$E$6,"Good (Aligned)",IF(ABS(G97)&lt;=Lists!$E$2,"Moderate Gap","Bad (Inflated)")))</f>
        <v/>
      </c>
    </row>
    <row r="98" customFormat="false" ht="14.25" hidden="false" customHeight="true" outlineLevel="0" collapsed="false">
      <c r="A98" s="14" t="str">
        <f aca="false">IF(Films!A98="","",Films!A98)</f>
        <v/>
      </c>
      <c r="B98" s="14" t="str">
        <f aca="false">IF(A98="","",Films!B98)</f>
        <v/>
      </c>
      <c r="C98" s="15" t="str">
        <f aca="false">IF(A98="","",Films!C98)</f>
        <v/>
      </c>
      <c r="D98" s="14" t="str">
        <f aca="false">IF(A98="","",IF(COUNTIFS('Daily Log'!$B$2:$B$500,A98)=0,"",_xlfn.MAXIFS('Daily Log'!$D$2:$D$500,'Daily Log'!$B$2:$B$500,A98)))</f>
        <v/>
      </c>
      <c r="E98" s="16" t="str">
        <f aca="false">IF(A98="","",IFERROR(AVERAGEIFS('Daily Log'!$E$2:$E$500,'Daily Log'!$B$2:$B$500,$A98,'Daily Log'!$F$2:$F$500,"Net India",'Daily Log'!$D$2:$D$500,1,'Daily Log'!$H$2:$H$500,"Trade estimate"),IFERROR(AVERAGEIFS('Daily Log'!$E$2:$E$500,'Daily Log'!$B$2:$B$500,$A98,'Daily Log'!$F$2:$F$500,"Net India",'Daily Log'!$D$2:$D$500,D98,'Daily Log'!$H$2:$H$500,"Trade estimate"),"")))</f>
        <v/>
      </c>
      <c r="F98" s="16" t="str">
        <f aca="false">IF(A98="","",IFERROR(AVERAGEIFS('Daily Log'!$E$2:$E$500,'Daily Log'!$B$2:$B$500,$A98,'Daily Log'!$F$2:$F$500,"Net India",'Daily Log'!$D$2:$D$500,1,'Daily Log'!$H$2:$H$500,"Producer-reported"),IFERROR(AVERAGEIFS('Daily Log'!$E$2:$E$500,'Daily Log'!$B$2:$B$500,$A98,'Daily Log'!$F$2:$F$500,"Net India",'Daily Log'!$D$2:$D$500,D98,'Daily Log'!$H$2:$H$500,"Producer-reported"),"")))</f>
        <v/>
      </c>
      <c r="G98" s="17" t="str">
        <f aca="false">IF(OR(E98="",F98=""),"",IF(E98=0,"",F98/E98-1))</f>
        <v/>
      </c>
      <c r="H98" s="16" t="str">
        <f aca="false">IF(OR(A98="",D98=""),"",IFERROR(AVERAGEIFS('Daily Log'!$E$2:$E$500,'Daily Log'!$B$2:$B$500,$A98,'Daily Log'!$F$2:$F$500,"Net India",'Daily Log'!$D$2:$D$500,D98,'Daily Log'!$H$2:$H$500,"Trade estimate"),""))</f>
        <v/>
      </c>
      <c r="I98" s="17" t="str">
        <f aca="false">IF(A98="","",IF(COUNTIFS('Daily Log'!$B$2:$B$500,$A98,'Daily Log'!$F$2:$F$500,"Net India",'Daily Log'!$H$2:$H$500,"Trade estimate",'Daily Log'!$J$2:$J$500,"&gt;=2")=0,"",AVERAGEIFS('Daily Log'!$M$2:$M$500,'Daily Log'!$B$2:$B$500,$A98,'Daily Log'!$F$2:$F$500,"Net India",'Daily Log'!$H$2:$H$500,"Trade estimate",'Daily Log'!$J$2:$J$500,"&gt;=2")))</f>
        <v/>
      </c>
      <c r="J98" s="17" t="str">
        <f aca="false">IF(I98="","",_xlfn.MAXIFS('Daily Log'!$M$2:$M$500,'Daily Log'!$B$2:$B$500,$A98,'Daily Log'!$F$2:$F$500,"Net India",'Daily Log'!$H$2:$H$500,"Trade estimate",'Daily Log'!$J$2:$J$500,"&gt;=2"))</f>
        <v/>
      </c>
      <c r="K98" s="18" t="str">
        <f aca="false">IF(A98="","",IF(I98="","Needs 2+ trade sources",IF(I98&lt;=Lists!$E$6,"Good",IF(I98&lt;=Lists!$E$2,"Moderate","Bad"))))</f>
        <v/>
      </c>
      <c r="L98" s="18" t="str">
        <f aca="false">IF(OR(A98="",G98=""),"",IF(ABS(G98)&lt;=Lists!$E$6,"Good (Aligned)",IF(ABS(G98)&lt;=Lists!$E$2,"Moderate Gap","Bad (Inflated)")))</f>
        <v/>
      </c>
    </row>
    <row r="99" customFormat="false" ht="14.25" hidden="false" customHeight="true" outlineLevel="0" collapsed="false">
      <c r="A99" s="14" t="str">
        <f aca="false">IF(Films!A99="","",Films!A99)</f>
        <v/>
      </c>
      <c r="B99" s="14" t="str">
        <f aca="false">IF(A99="","",Films!B99)</f>
        <v/>
      </c>
      <c r="C99" s="15" t="str">
        <f aca="false">IF(A99="","",Films!C99)</f>
        <v/>
      </c>
      <c r="D99" s="14" t="str">
        <f aca="false">IF(A99="","",IF(COUNTIFS('Daily Log'!$B$2:$B$500,A99)=0,"",_xlfn.MAXIFS('Daily Log'!$D$2:$D$500,'Daily Log'!$B$2:$B$500,A99)))</f>
        <v/>
      </c>
      <c r="E99" s="16" t="str">
        <f aca="false">IF(A99="","",IFERROR(AVERAGEIFS('Daily Log'!$E$2:$E$500,'Daily Log'!$B$2:$B$500,$A99,'Daily Log'!$F$2:$F$500,"Net India",'Daily Log'!$D$2:$D$500,1,'Daily Log'!$H$2:$H$500,"Trade estimate"),IFERROR(AVERAGEIFS('Daily Log'!$E$2:$E$500,'Daily Log'!$B$2:$B$500,$A99,'Daily Log'!$F$2:$F$500,"Net India",'Daily Log'!$D$2:$D$500,D99,'Daily Log'!$H$2:$H$500,"Trade estimate"),"")))</f>
        <v/>
      </c>
      <c r="F99" s="16" t="str">
        <f aca="false">IF(A99="","",IFERROR(AVERAGEIFS('Daily Log'!$E$2:$E$500,'Daily Log'!$B$2:$B$500,$A99,'Daily Log'!$F$2:$F$500,"Net India",'Daily Log'!$D$2:$D$500,1,'Daily Log'!$H$2:$H$500,"Producer-reported"),IFERROR(AVERAGEIFS('Daily Log'!$E$2:$E$500,'Daily Log'!$B$2:$B$500,$A99,'Daily Log'!$F$2:$F$500,"Net India",'Daily Log'!$D$2:$D$500,D99,'Daily Log'!$H$2:$H$500,"Producer-reported"),"")))</f>
        <v/>
      </c>
      <c r="G99" s="17" t="str">
        <f aca="false">IF(OR(E99="",F99=""),"",IF(E99=0,"",F99/E99-1))</f>
        <v/>
      </c>
      <c r="H99" s="16" t="str">
        <f aca="false">IF(OR(A99="",D99=""),"",IFERROR(AVERAGEIFS('Daily Log'!$E$2:$E$500,'Daily Log'!$B$2:$B$500,$A99,'Daily Log'!$F$2:$F$500,"Net India",'Daily Log'!$D$2:$D$500,D99,'Daily Log'!$H$2:$H$500,"Trade estimate"),""))</f>
        <v/>
      </c>
      <c r="I99" s="17" t="str">
        <f aca="false">IF(A99="","",IF(COUNTIFS('Daily Log'!$B$2:$B$500,$A99,'Daily Log'!$F$2:$F$500,"Net India",'Daily Log'!$H$2:$H$500,"Trade estimate",'Daily Log'!$J$2:$J$500,"&gt;=2")=0,"",AVERAGEIFS('Daily Log'!$M$2:$M$500,'Daily Log'!$B$2:$B$500,$A99,'Daily Log'!$F$2:$F$500,"Net India",'Daily Log'!$H$2:$H$500,"Trade estimate",'Daily Log'!$J$2:$J$500,"&gt;=2")))</f>
        <v/>
      </c>
      <c r="J99" s="17" t="str">
        <f aca="false">IF(I99="","",_xlfn.MAXIFS('Daily Log'!$M$2:$M$500,'Daily Log'!$B$2:$B$500,$A99,'Daily Log'!$F$2:$F$500,"Net India",'Daily Log'!$H$2:$H$500,"Trade estimate",'Daily Log'!$J$2:$J$500,"&gt;=2"))</f>
        <v/>
      </c>
      <c r="K99" s="18" t="str">
        <f aca="false">IF(A99="","",IF(I99="","Needs 2+ trade sources",IF(I99&lt;=Lists!$E$6,"Good",IF(I99&lt;=Lists!$E$2,"Moderate","Bad"))))</f>
        <v/>
      </c>
      <c r="L99" s="18" t="str">
        <f aca="false">IF(OR(A99="",G99=""),"",IF(ABS(G99)&lt;=Lists!$E$6,"Good (Aligned)",IF(ABS(G99)&lt;=Lists!$E$2,"Moderate Gap","Bad (Inflated)")))</f>
        <v/>
      </c>
    </row>
    <row r="100" customFormat="false" ht="14.25" hidden="false" customHeight="true" outlineLevel="0" collapsed="false">
      <c r="A100" s="14" t="str">
        <f aca="false">IF(Films!A100="","",Films!A100)</f>
        <v/>
      </c>
      <c r="B100" s="14" t="str">
        <f aca="false">IF(A100="","",Films!B100)</f>
        <v/>
      </c>
      <c r="C100" s="15" t="str">
        <f aca="false">IF(A100="","",Films!C100)</f>
        <v/>
      </c>
      <c r="D100" s="14" t="str">
        <f aca="false">IF(A100="","",IF(COUNTIFS('Daily Log'!$B$2:$B$500,A100)=0,"",_xlfn.MAXIFS('Daily Log'!$D$2:$D$500,'Daily Log'!$B$2:$B$500,A100)))</f>
        <v/>
      </c>
      <c r="E100" s="16" t="str">
        <f aca="false">IF(A100="","",IFERROR(AVERAGEIFS('Daily Log'!$E$2:$E$500,'Daily Log'!$B$2:$B$500,$A100,'Daily Log'!$F$2:$F$500,"Net India",'Daily Log'!$D$2:$D$500,1,'Daily Log'!$H$2:$H$500,"Trade estimate"),IFERROR(AVERAGEIFS('Daily Log'!$E$2:$E$500,'Daily Log'!$B$2:$B$500,$A100,'Daily Log'!$F$2:$F$500,"Net India",'Daily Log'!$D$2:$D$500,D100,'Daily Log'!$H$2:$H$500,"Trade estimate"),"")))</f>
        <v/>
      </c>
      <c r="F100" s="16" t="str">
        <f aca="false">IF(A100="","",IFERROR(AVERAGEIFS('Daily Log'!$E$2:$E$500,'Daily Log'!$B$2:$B$500,$A100,'Daily Log'!$F$2:$F$500,"Net India",'Daily Log'!$D$2:$D$500,1,'Daily Log'!$H$2:$H$500,"Producer-reported"),IFERROR(AVERAGEIFS('Daily Log'!$E$2:$E$500,'Daily Log'!$B$2:$B$500,$A100,'Daily Log'!$F$2:$F$500,"Net India",'Daily Log'!$D$2:$D$500,D100,'Daily Log'!$H$2:$H$500,"Producer-reported"),"")))</f>
        <v/>
      </c>
      <c r="G100" s="17" t="str">
        <f aca="false">IF(OR(E100="",F100=""),"",IF(E100=0,"",F100/E100-1))</f>
        <v/>
      </c>
      <c r="H100" s="16" t="str">
        <f aca="false">IF(OR(A100="",D100=""),"",IFERROR(AVERAGEIFS('Daily Log'!$E$2:$E$500,'Daily Log'!$B$2:$B$500,$A100,'Daily Log'!$F$2:$F$500,"Net India",'Daily Log'!$D$2:$D$500,D100,'Daily Log'!$H$2:$H$500,"Trade estimate"),""))</f>
        <v/>
      </c>
      <c r="I100" s="17" t="str">
        <f aca="false">IF(A100="","",IF(COUNTIFS('Daily Log'!$B$2:$B$500,$A100,'Daily Log'!$F$2:$F$500,"Net India",'Daily Log'!$H$2:$H$500,"Trade estimate",'Daily Log'!$J$2:$J$500,"&gt;=2")=0,"",AVERAGEIFS('Daily Log'!$M$2:$M$500,'Daily Log'!$B$2:$B$500,$A100,'Daily Log'!$F$2:$F$500,"Net India",'Daily Log'!$H$2:$H$500,"Trade estimate",'Daily Log'!$J$2:$J$500,"&gt;=2")))</f>
        <v/>
      </c>
      <c r="J100" s="17" t="str">
        <f aca="false">IF(I100="","",_xlfn.MAXIFS('Daily Log'!$M$2:$M$500,'Daily Log'!$B$2:$B$500,$A100,'Daily Log'!$F$2:$F$500,"Net India",'Daily Log'!$H$2:$H$500,"Trade estimate",'Daily Log'!$J$2:$J$500,"&gt;=2"))</f>
        <v/>
      </c>
      <c r="K100" s="18" t="str">
        <f aca="false">IF(A100="","",IF(I100="","Needs 2+ trade sources",IF(I100&lt;=Lists!$E$6,"Good",IF(I100&lt;=Lists!$E$2,"Moderate","Bad"))))</f>
        <v/>
      </c>
      <c r="L100" s="18" t="str">
        <f aca="false">IF(OR(A100="",G100=""),"",IF(ABS(G100)&lt;=Lists!$E$6,"Good (Aligned)",IF(ABS(G100)&lt;=Lists!$E$2,"Moderate Gap","Bad (Inflated)")))</f>
        <v/>
      </c>
    </row>
  </sheetData>
  <conditionalFormatting sqref="K2:K100">
    <cfRule type="cellIs" priority="2" operator="equal" aboveAverage="0" equalAverage="0" bottom="0" percent="0" rank="0" text="" dxfId="12">
      <formula>"Good"</formula>
    </cfRule>
    <cfRule type="cellIs" priority="3" operator="equal" aboveAverage="0" equalAverage="0" bottom="0" percent="0" rank="0" text="" dxfId="13">
      <formula>"Moderate"</formula>
    </cfRule>
    <cfRule type="cellIs" priority="4" operator="equal" aboveAverage="0" equalAverage="0" bottom="0" percent="0" rank="0" text="" dxfId="14">
      <formula>"Bad"</formula>
    </cfRule>
  </conditionalFormatting>
  <conditionalFormatting sqref="L2:L100">
    <cfRule type="cellIs" priority="5" operator="equal" aboveAverage="0" equalAverage="0" bottom="0" percent="0" rank="0" text="" dxfId="12">
      <formula>"Good (Aligned)"</formula>
    </cfRule>
    <cfRule type="cellIs" priority="6" operator="equal" aboveAverage="0" equalAverage="0" bottom="0" percent="0" rank="0" text="" dxfId="13">
      <formula>"Moderate Gap"</formula>
    </cfRule>
    <cfRule type="cellIs" priority="7" operator="equal" aboveAverage="0" equalAverage="0" bottom="0" percent="0" rank="0" text="" dxfId="14">
      <formula>"Bad (Inflated)"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2"/>
    <col collapsed="false" customWidth="true" hidden="false" outlineLevel="0" max="3" min="3" style="1" width="16"/>
    <col collapsed="false" customWidth="true" hidden="false" outlineLevel="0" max="5" min="5" style="1" width="24"/>
  </cols>
  <sheetData>
    <row r="1" customFormat="false" ht="31.5" hidden="false" customHeight="true" outlineLevel="0" collapsed="false">
      <c r="A1" s="5" t="s">
        <v>23</v>
      </c>
      <c r="B1" s="5" t="s">
        <v>25</v>
      </c>
      <c r="C1" s="5" t="s">
        <v>52</v>
      </c>
      <c r="E1" s="19" t="s">
        <v>108</v>
      </c>
    </row>
    <row r="2" customFormat="false" ht="14.25" hidden="false" customHeight="true" outlineLevel="0" collapsed="false">
      <c r="A2" s="20" t="s">
        <v>34</v>
      </c>
      <c r="B2" s="20" t="s">
        <v>36</v>
      </c>
      <c r="C2" s="20" t="s">
        <v>55</v>
      </c>
      <c r="E2" s="21" t="n">
        <v>0.1</v>
      </c>
    </row>
    <row r="3" customFormat="false" ht="60" hidden="false" customHeight="true" outlineLevel="0" collapsed="false">
      <c r="A3" s="20" t="s">
        <v>109</v>
      </c>
      <c r="B3" s="20" t="s">
        <v>41</v>
      </c>
      <c r="C3" s="20" t="s">
        <v>61</v>
      </c>
      <c r="E3" s="22" t="s">
        <v>110</v>
      </c>
    </row>
    <row r="4" customFormat="false" ht="14.25" hidden="false" customHeight="true" outlineLevel="0" collapsed="false">
      <c r="A4" s="20" t="s">
        <v>111</v>
      </c>
      <c r="B4" s="20" t="s">
        <v>112</v>
      </c>
      <c r="C4" s="20" t="s">
        <v>58</v>
      </c>
    </row>
    <row r="5" customFormat="false" ht="14.25" hidden="false" customHeight="true" outlineLevel="0" collapsed="false">
      <c r="C5" s="20" t="s">
        <v>113</v>
      </c>
      <c r="E5" s="19" t="s">
        <v>114</v>
      </c>
    </row>
    <row r="6" customFormat="false" ht="14.25" hidden="false" customHeight="true" outlineLevel="0" collapsed="false">
      <c r="C6" s="20" t="s">
        <v>115</v>
      </c>
      <c r="E6" s="23" t="n">
        <v>0.05</v>
      </c>
    </row>
    <row r="7" customFormat="false" ht="14.25" hidden="false" customHeight="true" outlineLevel="0" collapsed="false">
      <c r="C7" s="20" t="s">
        <v>77</v>
      </c>
      <c r="E7" s="24" t="s">
        <v>116</v>
      </c>
    </row>
    <row r="8" customFormat="false" ht="14.25" hidden="false" customHeight="true" outlineLevel="0" collapsed="false">
      <c r="C8" s="20" t="s">
        <v>117</v>
      </c>
    </row>
    <row r="9" customFormat="false" ht="14.25" hidden="false" customHeight="true" outlineLevel="0" collapsed="false">
      <c r="C9" s="20" t="s">
        <v>118</v>
      </c>
    </row>
    <row r="10" customFormat="false" ht="14.25" hidden="false" customHeight="true" outlineLevel="0" collapsed="false">
      <c r="C10" s="20" t="s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2026-10-14T16:47:00Z</dcterms:created>
  <dc:creator>openpyxl</dc:creator>
  <dc:description/>
  <dc:language>en-US</dc:language>
  <cp:lastModifiedBy>kumar</cp:lastModifiedBy>
  <dcterms:modified xsi:type="dcterms:W3CDTF">2026-10-17T03:35:44Z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DA901B6734104C419CE8B01721932FC6_12</vt:lpwstr>
  </property>
  <property fmtid="{D5CDD505-2E9C-101B-9397-08002B2CF9AE}" pid="4" name="KSOProductBuildVer">
    <vt:lpwstr>1033-12.1.0.29162</vt:lpwstr>
  </property>
</Properties>
</file>